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bconsultingassociatesinc./Downloads/"/>
    </mc:Choice>
  </mc:AlternateContent>
  <xr:revisionPtr revIDLastSave="0" documentId="8_{9DAFC622-5F6A-D648-A17A-E95F6D148B7D}" xr6:coauthVersionLast="47" xr6:coauthVersionMax="47" xr10:uidLastSave="{00000000-0000-0000-0000-000000000000}"/>
  <bookViews>
    <workbookView xWindow="0" yWindow="600" windowWidth="35840" windowHeight="18700" activeTab="1" xr2:uid="{00000000-000D-0000-FFFF-FFFF00000000}"/>
  </bookViews>
  <sheets>
    <sheet name="Export Summary" sheetId="1" r:id="rId1"/>
    <sheet name="RawExport" sheetId="2" r:id="rId2"/>
    <sheet name="ProjList_Init" sheetId="3" r:id="rId3"/>
    <sheet name="ProjList_Mod" sheetId="4" r:id="rId4"/>
    <sheet name="Pivots - PivotTable1" sheetId="5" r:id="rId5"/>
    <sheet name="Pivots - Table 1" sheetId="6" r:id="rId6"/>
    <sheet name="Sheet4" sheetId="7" r:id="rId7"/>
    <sheet name="Lookups" sheetId="8" r:id="rId8"/>
  </sheets>
  <definedName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25" i="7" l="1"/>
  <c r="B2" i="7"/>
  <c r="B3" i="7" s="1"/>
  <c r="C1" i="7"/>
  <c r="F183" i="4"/>
  <c r="F182" i="4"/>
  <c r="F181" i="4"/>
  <c r="F180" i="4"/>
  <c r="F179" i="4"/>
  <c r="F178" i="4"/>
  <c r="F177" i="4"/>
  <c r="F176" i="4"/>
  <c r="F174" i="4"/>
  <c r="F173" i="4"/>
  <c r="F172" i="4"/>
  <c r="F171" i="4"/>
  <c r="F170" i="4"/>
  <c r="F169" i="4"/>
  <c r="F168" i="4"/>
  <c r="F167" i="4"/>
  <c r="F166" i="4"/>
  <c r="F165" i="4"/>
  <c r="F164" i="4"/>
  <c r="F163" i="4"/>
  <c r="F155" i="4"/>
  <c r="F154" i="4"/>
  <c r="F153" i="4"/>
  <c r="F152" i="4"/>
  <c r="F151" i="4"/>
  <c r="F150" i="4"/>
  <c r="F149" i="4"/>
  <c r="F148" i="4"/>
  <c r="F147" i="4"/>
  <c r="F146" i="4"/>
  <c r="F145" i="4"/>
  <c r="F144" i="4"/>
  <c r="F143" i="4"/>
  <c r="F142" i="4"/>
  <c r="F141" i="4"/>
  <c r="F140" i="4"/>
  <c r="F139" i="4"/>
  <c r="F138" i="4"/>
  <c r="F137" i="4"/>
  <c r="F136" i="4"/>
  <c r="F135" i="4"/>
  <c r="F134" i="4"/>
  <c r="F130" i="4"/>
  <c r="F129" i="4"/>
  <c r="F128" i="4"/>
  <c r="F127" i="4"/>
  <c r="F126" i="4"/>
  <c r="F125" i="4"/>
  <c r="F124" i="4"/>
  <c r="F123" i="4"/>
  <c r="F118" i="4"/>
  <c r="F117" i="4"/>
  <c r="F116" i="4"/>
  <c r="F115" i="4"/>
  <c r="F114" i="4"/>
  <c r="F113" i="4"/>
  <c r="F112" i="4"/>
  <c r="F111" i="4"/>
  <c r="F110" i="4"/>
  <c r="F109" i="4"/>
  <c r="F108"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7" i="3"/>
  <c r="F136" i="3"/>
  <c r="F135" i="3"/>
  <c r="F134" i="3"/>
  <c r="F133" i="3"/>
  <c r="F132"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0" i="3"/>
  <c r="F89" i="3"/>
  <c r="F88" i="3"/>
  <c r="F87" i="3"/>
  <c r="F86" i="3"/>
  <c r="F85"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0" i="3"/>
  <c r="F49" i="3"/>
  <c r="F48" i="3"/>
  <c r="F47" i="3"/>
  <c r="F46" i="3"/>
  <c r="F45"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7" i="3"/>
  <c r="F6" i="3"/>
  <c r="F5" i="3"/>
  <c r="F4" i="3"/>
  <c r="F3" i="3"/>
  <c r="F2" i="3"/>
  <c r="B4" i="7" l="1"/>
  <c r="C3" i="7"/>
  <c r="C2" i="7"/>
  <c r="B5" i="7" l="1"/>
  <c r="C4" i="7"/>
  <c r="B6" i="7" l="1"/>
  <c r="C5" i="7"/>
  <c r="B7" i="7" l="1"/>
  <c r="C6" i="7"/>
  <c r="B8" i="7" l="1"/>
  <c r="C7" i="7"/>
  <c r="B9" i="7" l="1"/>
  <c r="C8" i="7"/>
  <c r="B10" i="7" l="1"/>
  <c r="C9" i="7"/>
  <c r="B11" i="7" l="1"/>
  <c r="C10" i="7"/>
  <c r="B12" i="7" l="1"/>
  <c r="C11" i="7"/>
  <c r="B13" i="7" l="1"/>
  <c r="C12" i="7"/>
  <c r="B14" i="7" l="1"/>
  <c r="C13" i="7"/>
  <c r="B15" i="7" l="1"/>
  <c r="C14" i="7"/>
  <c r="B16" i="7" l="1"/>
  <c r="C15" i="7"/>
  <c r="B17" i="7" l="1"/>
  <c r="C16" i="7"/>
  <c r="B18" i="7" l="1"/>
  <c r="C17" i="7"/>
  <c r="B19" i="7" l="1"/>
  <c r="C18" i="7"/>
  <c r="B20" i="7" l="1"/>
  <c r="C19" i="7"/>
  <c r="B21" i="7" l="1"/>
  <c r="C20" i="7"/>
  <c r="B22" i="7" l="1"/>
  <c r="C21" i="7"/>
  <c r="B23" i="7" l="1"/>
  <c r="C22" i="7"/>
  <c r="B24" i="7" l="1"/>
  <c r="C23" i="7"/>
  <c r="B25" i="7" l="1"/>
  <c r="C24" i="7"/>
  <c r="B26" i="7" l="1"/>
  <c r="C25" i="7"/>
  <c r="B27" i="7" l="1"/>
  <c r="C26" i="7"/>
  <c r="C27" i="7" l="1"/>
  <c r="B28" i="7"/>
  <c r="B29" i="7" l="1"/>
  <c r="C28" i="7"/>
  <c r="B30" i="7" l="1"/>
  <c r="C29" i="7"/>
  <c r="B31" i="7" l="1"/>
  <c r="C30" i="7"/>
  <c r="B32" i="7" l="1"/>
  <c r="C31" i="7"/>
  <c r="B33" i="7" l="1"/>
  <c r="C32" i="7"/>
  <c r="C33" i="7" l="1"/>
  <c r="B34" i="7"/>
  <c r="B35" i="7" l="1"/>
  <c r="C34" i="7"/>
  <c r="B36" i="7" l="1"/>
  <c r="C35" i="7"/>
  <c r="B37" i="7" l="1"/>
  <c r="C36" i="7"/>
  <c r="B38" i="7" l="1"/>
  <c r="C37" i="7"/>
  <c r="B39" i="7" l="1"/>
  <c r="C38" i="7"/>
  <c r="C39" i="7" l="1"/>
  <c r="B40" i="7"/>
  <c r="B41" i="7" l="1"/>
  <c r="C40" i="7"/>
  <c r="B42" i="7" l="1"/>
  <c r="C41" i="7"/>
  <c r="B43" i="7" l="1"/>
  <c r="C42" i="7"/>
  <c r="B44" i="7" l="1"/>
  <c r="C43" i="7"/>
  <c r="B45" i="7" l="1"/>
  <c r="C44" i="7"/>
  <c r="C45" i="7" l="1"/>
  <c r="B46" i="7"/>
  <c r="B47" i="7" l="1"/>
  <c r="C46" i="7"/>
  <c r="B48" i="7" l="1"/>
  <c r="C47" i="7"/>
  <c r="B49" i="7" l="1"/>
  <c r="C48" i="7"/>
  <c r="B50" i="7" l="1"/>
  <c r="C49" i="7"/>
  <c r="B51" i="7" l="1"/>
  <c r="C50" i="7"/>
  <c r="C51" i="7" l="1"/>
  <c r="B52" i="7"/>
  <c r="B53" i="7" l="1"/>
  <c r="C52" i="7"/>
  <c r="B54" i="7" l="1"/>
  <c r="C53" i="7"/>
  <c r="B55" i="7" l="1"/>
  <c r="C54" i="7"/>
  <c r="B56" i="7" l="1"/>
  <c r="C55" i="7"/>
  <c r="B57" i="7" l="1"/>
  <c r="C56" i="7"/>
  <c r="C57" i="7" l="1"/>
  <c r="B58" i="7"/>
  <c r="B59" i="7" l="1"/>
  <c r="C58" i="7"/>
  <c r="B60" i="7" l="1"/>
  <c r="C59" i="7"/>
  <c r="B61" i="7" l="1"/>
  <c r="C60" i="7"/>
  <c r="B62" i="7" l="1"/>
  <c r="C61" i="7"/>
  <c r="B63" i="7" l="1"/>
  <c r="C62" i="7"/>
  <c r="C63" i="7" l="1"/>
  <c r="B64" i="7"/>
  <c r="B65" i="7" l="1"/>
  <c r="C64" i="7"/>
  <c r="B66" i="7" l="1"/>
  <c r="C65" i="7"/>
  <c r="B67" i="7" l="1"/>
  <c r="C66" i="7"/>
  <c r="B68" i="7" l="1"/>
  <c r="C67" i="7"/>
  <c r="B69" i="7" l="1"/>
  <c r="C68" i="7"/>
  <c r="C69" i="7" l="1"/>
  <c r="B70" i="7"/>
  <c r="B71" i="7" l="1"/>
  <c r="C70" i="7"/>
  <c r="B72" i="7" l="1"/>
  <c r="C71" i="7"/>
  <c r="B73" i="7" l="1"/>
  <c r="C72" i="7"/>
  <c r="B74" i="7" l="1"/>
  <c r="C73" i="7"/>
  <c r="B75" i="7" l="1"/>
  <c r="C74" i="7"/>
  <c r="C75" i="7" l="1"/>
  <c r="B76" i="7"/>
  <c r="B77" i="7" l="1"/>
  <c r="C76" i="7"/>
  <c r="B78" i="7" l="1"/>
  <c r="C77" i="7"/>
  <c r="B79" i="7" l="1"/>
  <c r="C78" i="7"/>
  <c r="B80" i="7" l="1"/>
  <c r="C79" i="7"/>
  <c r="B81" i="7" l="1"/>
  <c r="C80" i="7"/>
  <c r="C81" i="7" l="1"/>
  <c r="B82" i="7"/>
  <c r="B83" i="7" l="1"/>
  <c r="C82" i="7"/>
  <c r="B84" i="7" l="1"/>
  <c r="C83" i="7"/>
  <c r="B85" i="7" l="1"/>
  <c r="C84" i="7"/>
  <c r="B86" i="7" l="1"/>
  <c r="C85" i="7"/>
  <c r="B87" i="7" l="1"/>
  <c r="C86" i="7"/>
  <c r="C87" i="7" l="1"/>
  <c r="B88" i="7"/>
  <c r="B89" i="7" l="1"/>
  <c r="C88" i="7"/>
  <c r="B90" i="7" l="1"/>
  <c r="C89" i="7"/>
  <c r="B91" i="7" l="1"/>
  <c r="C90" i="7"/>
  <c r="B92" i="7" l="1"/>
  <c r="C91" i="7"/>
  <c r="B93" i="7" l="1"/>
  <c r="C92" i="7"/>
  <c r="C93" i="7" l="1"/>
  <c r="B94" i="7"/>
  <c r="B95" i="7" l="1"/>
  <c r="C94" i="7"/>
  <c r="B96" i="7" l="1"/>
  <c r="C95" i="7"/>
  <c r="B97" i="7" l="1"/>
  <c r="C96" i="7"/>
  <c r="B98" i="7" l="1"/>
  <c r="C97" i="7"/>
  <c r="B99" i="7" l="1"/>
  <c r="C99" i="7" s="1"/>
  <c r="C98" i="7"/>
</calcChain>
</file>

<file path=xl/sharedStrings.xml><?xml version="1.0" encoding="utf-8"?>
<sst xmlns="http://schemas.openxmlformats.org/spreadsheetml/2006/main" count="2615" uniqueCount="653">
  <si>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</si>
  <si>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</si>
  <si>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</si>
  <si>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</si>
  <si>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RawExport</t>
  </si>
  <si>
    <t>Table 1</t>
  </si>
  <si>
    <r>
      <rPr>
        <b/>
        <i/>
        <sz val="16"/>
        <color indexed="8"/>
        <rFont val="Calibri"/>
        <family val="2"/>
      </rPr>
      <t>Building Partnerships</t>
    </r>
  </si>
  <si>
    <r>
      <rPr>
        <b/>
        <sz val="28"/>
        <color indexed="8"/>
        <rFont val="Arial Narrow"/>
        <family val="2"/>
      </rPr>
      <t xml:space="preserve">FMP Cost Estimate
</t>
    </r>
    <r>
      <rPr>
        <b/>
        <sz val="22"/>
        <color indexed="8"/>
        <rFont val="Arial Narrow"/>
        <family val="2"/>
      </rPr>
      <t>January 29, 2024</t>
    </r>
  </si>
  <si>
    <r>
      <rPr>
        <b/>
        <sz val="18"/>
        <color indexed="8"/>
        <rFont val="Arial Narrow"/>
        <family val="2"/>
      </rPr>
      <t xml:space="preserve">San Marino Unified School District Facility Masterplan
</t>
    </r>
    <r>
      <rPr>
        <sz val="18"/>
        <color indexed="8"/>
        <rFont val="Arial Narrow"/>
        <family val="2"/>
      </rPr>
      <t xml:space="preserve">San Marino, CA
</t>
    </r>
  </si>
  <si>
    <r>
      <rPr>
        <b/>
        <sz val="20"/>
        <color indexed="14"/>
        <rFont val="Arial Narrow"/>
        <family val="2"/>
      </rPr>
      <t>Prepared for LPA Design Studios, Inc.</t>
    </r>
  </si>
  <si>
    <r>
      <rPr>
        <b/>
        <sz val="12"/>
        <color indexed="8"/>
        <rFont val="Arial Narrow"/>
        <family val="2"/>
      </rPr>
      <t xml:space="preserve">San Marino Unified School District
</t>
    </r>
    <r>
      <rPr>
        <b/>
        <sz val="10"/>
        <color indexed="8"/>
        <rFont val="Arial Narrow"/>
        <family val="2"/>
      </rPr>
      <t>Facility Masterplan January 29, 2024</t>
    </r>
  </si>
  <si>
    <r>
      <rPr>
        <b/>
        <sz val="12"/>
        <color indexed="12"/>
        <rFont val="Arial Narrow"/>
        <family val="2"/>
      </rPr>
      <t>INTRODUCTION</t>
    </r>
  </si>
  <si>
    <r>
      <rPr>
        <b/>
        <sz val="10"/>
        <color indexed="12"/>
        <rFont val="Arial Narrow"/>
        <family val="2"/>
      </rPr>
      <t>1.   Basis Of Estimate</t>
    </r>
  </si>
  <si>
    <r>
      <rPr>
        <sz val="10"/>
        <color indexed="8"/>
        <rFont val="Arial Narrow"/>
        <family val="2"/>
      </rPr>
      <t>This cost estimate is based upon documents and quantities provided by LPA Design Studios, Inc.</t>
    </r>
  </si>
  <si>
    <r>
      <rPr>
        <b/>
        <sz val="10"/>
        <color indexed="12"/>
        <rFont val="Arial Narrow"/>
        <family val="2"/>
      </rPr>
      <t>2.   Excluded Costs</t>
    </r>
  </si>
  <si>
    <r>
      <rPr>
        <sz val="10"/>
        <color indexed="8"/>
        <rFont val="Arial Narrow"/>
        <family val="2"/>
      </rPr>
      <t>The following cost items are excluded from this estimate.</t>
    </r>
  </si>
  <si>
    <r>
      <rPr>
        <sz val="10"/>
        <color indexed="8"/>
        <rFont val="Arial Narrow"/>
        <family val="2"/>
      </rPr>
      <t xml:space="preserve">1)      Escalation is not included. Pricing good through the end of 2024.
</t>
    </r>
    <r>
      <rPr>
        <sz val="10"/>
        <color indexed="8"/>
        <rFont val="Arial Narrow"/>
        <family val="2"/>
      </rPr>
      <t xml:space="preserve">2)      Land purchase costs.
</t>
    </r>
    <r>
      <rPr>
        <sz val="10"/>
        <color indexed="8"/>
        <rFont val="Arial Narrow"/>
        <family val="2"/>
      </rPr>
      <t xml:space="preserve">3)      Off-site work, unless noted otherwise.
</t>
    </r>
    <r>
      <rPr>
        <sz val="10"/>
        <color indexed="8"/>
        <rFont val="Arial Narrow"/>
        <family val="2"/>
      </rPr>
      <t>4)      Costs of hazardous material surveys, abatement, and disposal, unless noted otherwise.</t>
    </r>
  </si>
  <si>
    <r>
      <rPr>
        <sz val="10"/>
        <color indexed="8"/>
        <rFont val="Arial Narrow"/>
        <family val="2"/>
      </rPr>
      <t>5)      FF&amp;E, unless noted otherwise.</t>
    </r>
  </si>
  <si>
    <r>
      <rPr>
        <b/>
        <sz val="10"/>
        <color indexed="12"/>
        <rFont val="Arial Narrow"/>
        <family val="2"/>
      </rPr>
      <t>3.   Clarifications</t>
    </r>
  </si>
  <si>
    <r>
      <rPr>
        <sz val="10"/>
        <color indexed="8"/>
        <rFont val="Arial Narrow"/>
        <family val="2"/>
      </rPr>
      <t>This estimate is based upon the following assumptions.</t>
    </r>
  </si>
  <si>
    <r>
      <rPr>
        <sz val="10"/>
        <color indexed="8"/>
        <rFont val="Arial Narrow"/>
        <family val="2"/>
      </rPr>
      <t xml:space="preserve">1)      A competitive bid environment at subcontractor and GC level.
</t>
    </r>
    <r>
      <rPr>
        <sz val="10"/>
        <color indexed="8"/>
        <rFont val="Arial Narrow"/>
        <family val="2"/>
      </rPr>
      <t xml:space="preserve">2)      The use of prevailing wage labor rates.
</t>
    </r>
    <r>
      <rPr>
        <sz val="10"/>
        <color indexed="8"/>
        <rFont val="Arial Narrow"/>
        <family val="2"/>
      </rPr>
      <t xml:space="preserve">3)      We are assuming a traditional design -bid - build procurement methodology.
</t>
    </r>
    <r>
      <rPr>
        <sz val="10"/>
        <color indexed="8"/>
        <rFont val="Arial Narrow"/>
        <family val="2"/>
      </rPr>
      <t xml:space="preserve">4)      Unit costs are inclusive of General Conditions, General Requirements, Overhead and Profit, Bonds and Insurance and Design Contingency.
</t>
    </r>
    <r>
      <rPr>
        <sz val="10"/>
        <color indexed="8"/>
        <rFont val="Arial Narrow"/>
        <family val="2"/>
      </rPr>
      <t>5)      Softs costs are estimated at 33% per LPA Design Studios, Inc.</t>
    </r>
  </si>
  <si>
    <r>
      <rPr>
        <b/>
        <sz val="10"/>
        <color indexed="12"/>
        <rFont val="Arial Narrow"/>
        <family val="2"/>
      </rPr>
      <t>4.   Typical Assumptions</t>
    </r>
  </si>
  <si>
    <r>
      <rPr>
        <sz val="10"/>
        <color indexed="8"/>
        <rFont val="Arial Narrow"/>
        <family val="2"/>
      </rPr>
      <t xml:space="preserve">1)      Structural upgrades to buildings built before 1986 (Northridge earthquake), unless noted otherwise.
</t>
    </r>
    <r>
      <rPr>
        <sz val="10"/>
        <color indexed="8"/>
        <rFont val="Arial Narrow"/>
        <family val="2"/>
      </rPr>
      <t xml:space="preserve">2)      Asbestos abatement to buildings built before 1977 (Asbestos banned in construction), unless noted otherwise.
</t>
    </r>
    <r>
      <rPr>
        <sz val="10"/>
        <color indexed="8"/>
        <rFont val="Arial Narrow"/>
        <family val="2"/>
      </rPr>
      <t>3)      Safety door locks to buildings built before 2012 (Sandy Hook), unless noted otherwise.</t>
    </r>
  </si>
  <si>
    <r>
      <rPr>
        <sz val="10"/>
        <color indexed="8"/>
        <rFont val="Arial Narrow"/>
        <family val="2"/>
      </rPr>
      <t xml:space="preserve">4)      Fire alarm replacement to fully addressable to buildings built before 2013 (Title 24), unless noted otherwise
</t>
    </r>
    <r>
      <rPr>
        <sz val="10"/>
        <color indexed="8"/>
        <rFont val="Arial Narrow"/>
        <family val="2"/>
      </rPr>
      <t>4)      LED Lighting replacement to buildings built before 2013 (Title 24), unless noted otherwise</t>
    </r>
  </si>
  <si>
    <r>
      <rPr>
        <sz val="10"/>
        <color indexed="8"/>
        <rFont val="Arial Narrow"/>
        <family val="2"/>
      </rPr>
      <t xml:space="preserve">5)      Grossing factors for new construction as follows: One-story classroom:                                    1.33
</t>
    </r>
    <r>
      <rPr>
        <sz val="10"/>
        <color indexed="8"/>
        <rFont val="Arial Narrow"/>
        <family val="2"/>
      </rPr>
      <t xml:space="preserve">One-story admin:                                          1.40
</t>
    </r>
    <r>
      <rPr>
        <sz val="10"/>
        <color indexed="8"/>
        <rFont val="Arial Narrow"/>
        <family val="2"/>
      </rPr>
      <t xml:space="preserve">Two-story classroom:                                    1.50
</t>
    </r>
    <r>
      <rPr>
        <sz val="10"/>
        <color indexed="8"/>
        <rFont val="Arial Narrow"/>
        <family val="2"/>
      </rPr>
      <t>Two-story admin:                                          1.60</t>
    </r>
  </si>
  <si>
    <r>
      <rPr>
        <b/>
        <sz val="12"/>
        <color indexed="12"/>
        <rFont val="Arial Narrow"/>
        <family val="2"/>
      </rPr>
      <t>MAIN SUMMARY</t>
    </r>
  </si>
  <si>
    <r>
      <rPr>
        <b/>
        <sz val="10"/>
        <color indexed="8"/>
        <rFont val="Arial Narrow"/>
        <family val="2"/>
      </rPr>
      <t>Total</t>
    </r>
  </si>
  <si>
    <r>
      <rPr>
        <b/>
        <sz val="9"/>
        <color indexed="12"/>
        <rFont val="Arial Narrow"/>
        <family val="2"/>
      </rPr>
      <t>School Site</t>
    </r>
  </si>
  <si>
    <r>
      <rPr>
        <b/>
        <vertAlign val="subscript"/>
        <sz val="10"/>
        <color indexed="12"/>
        <rFont val="Arial Narrow"/>
        <family val="2"/>
      </rPr>
      <t xml:space="preserve">Site Area (SF)     </t>
    </r>
    <r>
      <rPr>
        <b/>
        <sz val="10"/>
        <color indexed="12"/>
        <rFont val="Arial Narrow"/>
        <family val="2"/>
      </rPr>
      <t xml:space="preserve">Existing Building      New Building
</t>
    </r>
    <r>
      <rPr>
        <b/>
        <sz val="10"/>
        <color indexed="12"/>
        <rFont val="Arial Narrow"/>
        <family val="2"/>
      </rPr>
      <t>Area (SF)                Area (SF)</t>
    </r>
  </si>
  <si>
    <r>
      <rPr>
        <b/>
        <sz val="10"/>
        <color indexed="12"/>
        <rFont val="Arial Narrow"/>
        <family val="2"/>
      </rPr>
      <t>TOTAL PROJECT COST (2024$)</t>
    </r>
  </si>
  <si>
    <r>
      <rPr>
        <b/>
        <sz val="10"/>
        <color indexed="8"/>
        <rFont val="Arial Narrow"/>
        <family val="2"/>
      </rPr>
      <t>Carver ES</t>
    </r>
  </si>
  <si>
    <r>
      <rPr>
        <b/>
        <sz val="10"/>
        <color indexed="8"/>
        <rFont val="Arial Narrow"/>
        <family val="2"/>
      </rPr>
      <t>Valentine ES</t>
    </r>
  </si>
  <si>
    <r>
      <rPr>
        <b/>
        <sz val="10"/>
        <color indexed="8"/>
        <rFont val="Arial Narrow"/>
        <family val="2"/>
      </rPr>
      <t>Huntington MS</t>
    </r>
  </si>
  <si>
    <r>
      <rPr>
        <b/>
        <sz val="10"/>
        <color indexed="8"/>
        <rFont val="Arial Narrow"/>
        <family val="2"/>
      </rPr>
      <t>San Marino HS</t>
    </r>
  </si>
  <si>
    <r>
      <rPr>
        <b/>
        <sz val="10"/>
        <color indexed="8"/>
        <rFont val="Arial Narrow"/>
        <family val="2"/>
      </rPr>
      <t>TOTAL PROJECT COST (2024$)</t>
    </r>
  </si>
  <si>
    <r>
      <rPr>
        <b/>
        <sz val="10"/>
        <color indexed="12"/>
        <rFont val="Arial Narrow"/>
        <family val="2"/>
      </rPr>
      <t>COMPREHENSIVE SUMMARY</t>
    </r>
  </si>
  <si>
    <r>
      <rPr>
        <b/>
        <sz val="10"/>
        <color indexed="12"/>
        <rFont val="Arial Narrow"/>
        <family val="2"/>
      </rPr>
      <t>Program Scope</t>
    </r>
  </si>
  <si>
    <r>
      <rPr>
        <b/>
        <sz val="10"/>
        <color indexed="12"/>
        <rFont val="Arial Narrow"/>
        <family val="2"/>
      </rPr>
      <t>Carver ES              Valentine ES         Huntington MS</t>
    </r>
  </si>
  <si>
    <r>
      <rPr>
        <b/>
        <sz val="10"/>
        <color indexed="8"/>
        <rFont val="Arial Narrow"/>
        <family val="2"/>
      </rPr>
      <t>1. Modernization / Reconfigure Existing Classrooms</t>
    </r>
  </si>
  <si>
    <r>
      <rPr>
        <b/>
        <sz val="10"/>
        <color indexed="8"/>
        <rFont val="Arial Narrow"/>
        <family val="2"/>
      </rPr>
      <t>2. Site Utilities</t>
    </r>
  </si>
  <si>
    <r>
      <rPr>
        <b/>
        <sz val="10"/>
        <color indexed="8"/>
        <rFont val="Arial Narrow"/>
        <family val="2"/>
      </rPr>
      <t>3. New Construction (Classrooms)</t>
    </r>
  </si>
  <si>
    <r>
      <rPr>
        <b/>
        <sz val="10"/>
        <color indexed="8"/>
        <rFont val="Arial Narrow"/>
        <family val="2"/>
      </rPr>
      <t>4. Flex Labs, Science, VAPA, Theater &amp; Elective Spaces</t>
    </r>
  </si>
  <si>
    <r>
      <rPr>
        <b/>
        <sz val="10"/>
        <color indexed="8"/>
        <rFont val="Arial Narrow"/>
        <family val="2"/>
      </rPr>
      <t>5. Multipurpose Room (MPR) &amp; Food Service</t>
    </r>
  </si>
  <si>
    <r>
      <rPr>
        <b/>
        <sz val="10"/>
        <color indexed="8"/>
        <rFont val="Arial Narrow"/>
        <family val="2"/>
      </rPr>
      <t>6. Library</t>
    </r>
  </si>
  <si>
    <r>
      <rPr>
        <b/>
        <sz val="10"/>
        <color indexed="8"/>
        <rFont val="Arial Narrow"/>
        <family val="2"/>
      </rPr>
      <t>7. Student Support &amp; Counseling</t>
    </r>
  </si>
  <si>
    <r>
      <rPr>
        <sz val="10"/>
        <color indexed="8"/>
        <rFont val="Arial Narrow"/>
        <family val="2"/>
      </rPr>
      <t>$                      -</t>
    </r>
  </si>
  <si>
    <r>
      <rPr>
        <b/>
        <sz val="10"/>
        <color indexed="8"/>
        <rFont val="Arial Narrow"/>
        <family val="2"/>
      </rPr>
      <t>8. Administration and Staff Support</t>
    </r>
  </si>
  <si>
    <r>
      <rPr>
        <b/>
        <sz val="10"/>
        <color indexed="8"/>
        <rFont val="Arial Narrow"/>
        <family val="2"/>
      </rPr>
      <t>9. Physical Education Improvements</t>
    </r>
  </si>
  <si>
    <r>
      <rPr>
        <b/>
        <sz val="10"/>
        <color indexed="8"/>
        <rFont val="Arial Narrow"/>
        <family val="2"/>
      </rPr>
      <t>10. Safety and Security</t>
    </r>
  </si>
  <si>
    <r>
      <rPr>
        <b/>
        <sz val="10"/>
        <color indexed="8"/>
        <rFont val="Arial Narrow"/>
        <family val="2"/>
      </rPr>
      <t>11. Outdoor Learning Environments &amp; Quads</t>
    </r>
  </si>
  <si>
    <r>
      <rPr>
        <b/>
        <sz val="10"/>
        <color indexed="8"/>
        <rFont val="Arial Narrow"/>
        <family val="2"/>
      </rPr>
      <t>12. Exterior Play Spaces, Playfields &amp; Hardcourts</t>
    </r>
  </si>
  <si>
    <r>
      <rPr>
        <b/>
        <sz val="10"/>
        <color indexed="8"/>
        <rFont val="Arial Narrow"/>
        <family val="2"/>
      </rPr>
      <t>13. Next Generation Classroom Flexibility</t>
    </r>
  </si>
  <si>
    <r>
      <rPr>
        <b/>
        <sz val="10"/>
        <color indexed="8"/>
        <rFont val="Arial Narrow"/>
        <family val="2"/>
      </rPr>
      <t>14. Technology Equipment</t>
    </r>
  </si>
  <si>
    <r>
      <rPr>
        <b/>
        <sz val="10"/>
        <color indexed="12"/>
        <rFont val="Arial Narrow"/>
        <family val="2"/>
      </rPr>
      <t>COMPREHENSIVE S</t>
    </r>
  </si>
  <si>
    <r>
      <rPr>
        <b/>
        <sz val="10"/>
        <color indexed="12"/>
        <rFont val="Arial Narrow"/>
        <family val="2"/>
      </rPr>
      <t>San Marino HS</t>
    </r>
  </si>
  <si>
    <r>
      <rPr>
        <b/>
        <sz val="9"/>
        <color indexed="12"/>
        <rFont val="Arial Narrow"/>
        <family val="2"/>
      </rPr>
      <t>TOTAL</t>
    </r>
  </si>
  <si>
    <r>
      <rPr>
        <b/>
        <sz val="12"/>
        <color indexed="8"/>
        <rFont val="Arial Narrow"/>
        <family val="2"/>
      </rPr>
      <t xml:space="preserve">San Marino Unified School District
</t>
    </r>
    <r>
      <rPr>
        <b/>
        <sz val="10"/>
        <color indexed="8"/>
        <rFont val="Arial Narrow"/>
        <family val="2"/>
      </rPr>
      <t xml:space="preserve">Facility Masterplan                                                                                                                                                                                              </t>
    </r>
    <r>
      <rPr>
        <b/>
        <sz val="9"/>
        <color indexed="8"/>
        <rFont val="Arial Narrow"/>
        <family val="2"/>
      </rPr>
      <t>1/29/24</t>
    </r>
  </si>
  <si>
    <r>
      <rPr>
        <b/>
        <sz val="12"/>
        <color indexed="12"/>
        <rFont val="Arial Narrow"/>
        <family val="2"/>
      </rPr>
      <t>Carver ES Cost Detail</t>
    </r>
  </si>
  <si>
    <r>
      <rPr>
        <b/>
        <sz val="10"/>
        <color indexed="8"/>
        <rFont val="Arial Narrow"/>
        <family val="2"/>
      </rPr>
      <t>Area</t>
    </r>
  </si>
  <si>
    <r>
      <rPr>
        <b/>
        <sz val="10"/>
        <color indexed="8"/>
        <rFont val="Arial Narrow"/>
        <family val="2"/>
      </rPr>
      <t>Unit</t>
    </r>
  </si>
  <si>
    <r>
      <rPr>
        <b/>
        <sz val="10"/>
        <color indexed="8"/>
        <rFont val="Arial Narrow"/>
        <family val="2"/>
      </rPr>
      <t>Unit Cost</t>
    </r>
  </si>
  <si>
    <r>
      <rPr>
        <b/>
        <sz val="10"/>
        <color indexed="8"/>
        <rFont val="Arial Narrow"/>
        <family val="2"/>
      </rPr>
      <t xml:space="preserve">Construction
</t>
    </r>
    <r>
      <rPr>
        <b/>
        <sz val="10"/>
        <color indexed="8"/>
        <rFont val="Arial Narrow"/>
        <family val="2"/>
      </rPr>
      <t xml:space="preserve">Cost                Sub-
</t>
    </r>
    <r>
      <rPr>
        <b/>
        <sz val="10"/>
        <color indexed="8"/>
        <rFont val="Arial Narrow"/>
        <family val="2"/>
      </rPr>
      <t>Total</t>
    </r>
  </si>
  <si>
    <r>
      <rPr>
        <b/>
        <sz val="10"/>
        <color indexed="8"/>
        <rFont val="Arial Narrow"/>
        <family val="2"/>
      </rPr>
      <t>Total Project Cost 25% (x 1.33)</t>
    </r>
  </si>
  <si>
    <r>
      <rPr>
        <b/>
        <sz val="10"/>
        <color indexed="12"/>
        <rFont val="Arial Narrow"/>
        <family val="2"/>
      </rPr>
      <t>1. Modernization / Reconfigure Existing Classrooms</t>
    </r>
  </si>
  <si>
    <r>
      <rPr>
        <sz val="9"/>
        <color indexed="8"/>
        <rFont val="Arial Narrow"/>
        <family val="2"/>
      </rPr>
      <t xml:space="preserve">Existing classrooms Walls
</t>
    </r>
    <r>
      <rPr>
        <sz val="9"/>
        <color indexed="8"/>
        <rFont val="Arial Narrow"/>
        <family val="2"/>
      </rPr>
      <t xml:space="preserve">Repair existing walls Windows
</t>
    </r>
    <r>
      <rPr>
        <sz val="9"/>
        <color indexed="8"/>
        <rFont val="Arial Narrow"/>
        <family val="2"/>
      </rPr>
      <t xml:space="preserve">Replace existing windows Doors
</t>
    </r>
    <r>
      <rPr>
        <sz val="9"/>
        <color indexed="8"/>
        <rFont val="Arial Narrow"/>
        <family val="2"/>
      </rPr>
      <t xml:space="preserve">Repair existing doors Floors
</t>
    </r>
    <r>
      <rPr>
        <sz val="9"/>
        <color indexed="8"/>
        <rFont val="Arial Narrow"/>
        <family val="2"/>
      </rPr>
      <t xml:space="preserve">Replace existing floors Ceilings
</t>
    </r>
    <r>
      <rPr>
        <sz val="9"/>
        <color indexed="8"/>
        <rFont val="Arial Narrow"/>
        <family val="2"/>
      </rPr>
      <t xml:space="preserve">Replace existing ceilings Exteriors
</t>
    </r>
    <r>
      <rPr>
        <sz val="9"/>
        <color indexed="8"/>
        <rFont val="Arial Narrow"/>
        <family val="2"/>
      </rPr>
      <t xml:space="preserve">Patch, repair and paint Roofing
</t>
    </r>
    <r>
      <rPr>
        <sz val="9"/>
        <color indexed="8"/>
        <rFont val="Arial Narrow"/>
        <family val="2"/>
      </rPr>
      <t xml:space="preserve">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 xml:space="preserve">Upgrade backbone, wireless access points, and switches (direct cost)
</t>
    </r>
    <r>
      <rPr>
        <sz val="9"/>
        <color indexed="8"/>
        <rFont val="Arial Narrow"/>
        <family val="2"/>
      </rPr>
      <t>Upgrade fiber to support (direct cost)</t>
    </r>
  </si>
  <si>
    <r>
      <rPr>
        <sz val="9"/>
        <color indexed="8"/>
        <rFont val="Arial Narrow"/>
        <family val="2"/>
      </rPr>
      <t xml:space="preserve">30,360
</t>
    </r>
    <r>
      <rPr>
        <sz val="9"/>
        <color indexed="8"/>
        <rFont val="Arial Narrow"/>
        <family val="2"/>
      </rPr>
      <t xml:space="preserve">27,480
</t>
    </r>
    <r>
      <rPr>
        <sz val="9"/>
        <color indexed="8"/>
        <rFont val="Arial Narrow"/>
        <family val="2"/>
      </rPr>
      <t xml:space="preserve">27,480
</t>
    </r>
    <r>
      <rPr>
        <sz val="9"/>
        <color indexed="8"/>
        <rFont val="Arial Narrow"/>
        <family val="2"/>
      </rPr>
      <t xml:space="preserve">30,360
</t>
    </r>
    <r>
      <rPr>
        <sz val="9"/>
        <color indexed="8"/>
        <rFont val="Arial Narrow"/>
        <family val="2"/>
      </rPr>
      <t xml:space="preserve">2,880
</t>
    </r>
    <r>
      <rPr>
        <sz val="9"/>
        <color indexed="8"/>
        <rFont val="Arial Narrow"/>
        <family val="2"/>
      </rPr>
      <t xml:space="preserve">2,880
</t>
    </r>
    <r>
      <rPr>
        <sz val="9"/>
        <color indexed="8"/>
        <rFont val="Arial Narrow"/>
        <family val="2"/>
      </rPr>
      <t xml:space="preserve">17,115
</t>
    </r>
    <r>
      <rPr>
        <sz val="9"/>
        <color indexed="8"/>
        <rFont val="Arial Narrow"/>
        <family val="2"/>
      </rPr>
      <t xml:space="preserve">2,390
</t>
    </r>
    <r>
      <rPr>
        <sz val="9"/>
        <color indexed="8"/>
        <rFont val="Arial Narrow"/>
        <family val="2"/>
      </rPr>
      <t xml:space="preserve">27,480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27,480
</t>
    </r>
    <r>
      <rPr>
        <sz val="9"/>
        <color indexed="8"/>
        <rFont val="Arial Narrow"/>
        <family val="2"/>
      </rPr>
      <t xml:space="preserve">2,880
</t>
    </r>
    <r>
      <rPr>
        <sz val="9"/>
        <color indexed="8"/>
        <rFont val="Arial Narrow"/>
        <family val="2"/>
      </rPr>
      <t xml:space="preserve">30,360
</t>
    </r>
    <r>
      <rPr>
        <sz val="9"/>
        <color indexed="8"/>
        <rFont val="Arial Narrow"/>
        <family val="2"/>
      </rPr>
      <t xml:space="preserve">1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30,360
</t>
    </r>
    <r>
      <rPr>
        <sz val="9"/>
        <color indexed="8"/>
        <rFont val="Arial Narrow"/>
        <family val="2"/>
      </rPr>
      <t>30,360</t>
    </r>
  </si>
  <si>
    <r>
      <rPr>
        <sz val="9"/>
        <color indexed="8"/>
        <rFont val="Arial Narrow"/>
        <family val="2"/>
      </rPr>
      <t xml:space="preserve">sf sf sf sf sf sf sf sf
</t>
    </r>
    <r>
      <rPr>
        <sz val="9"/>
        <color indexed="8"/>
        <rFont val="Arial Narrow"/>
        <family val="2"/>
      </rPr>
      <t xml:space="preserve">sf sf sf sf sf
</t>
    </r>
    <r>
      <rPr>
        <sz val="9"/>
        <color indexed="8"/>
        <rFont val="Arial Narrow"/>
        <family val="2"/>
      </rPr>
      <t xml:space="preserve">sf ls sf sf sf
</t>
    </r>
    <r>
      <rPr>
        <sz val="9"/>
        <color indexed="8"/>
        <rFont val="Arial Narrow"/>
        <family val="2"/>
      </rPr>
      <t xml:space="preserve">sf
</t>
    </r>
    <r>
      <rPr>
        <sz val="9"/>
        <color indexed="8"/>
        <rFont val="Arial Narrow"/>
        <family val="2"/>
      </rPr>
      <t>sf</t>
    </r>
  </si>
  <si>
    <r>
      <rPr>
        <sz val="9"/>
        <color indexed="8"/>
        <rFont val="Arial Narrow"/>
        <family val="2"/>
      </rPr>
      <t xml:space="preserve">$                      9.52
</t>
    </r>
    <r>
      <rPr>
        <sz val="9"/>
        <color indexed="8"/>
        <rFont val="Arial Narrow"/>
        <family val="2"/>
      </rPr>
      <t xml:space="preserve">$                    45.22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38.08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xml:space="preserve">$                    14.28
</t>
    </r>
    <r>
      <rPr>
        <sz val="9"/>
        <color indexed="8"/>
        <rFont val="Arial Narrow"/>
        <family val="2"/>
      </rPr>
      <t>$                    14.28</t>
    </r>
  </si>
  <si>
    <r>
      <rPr>
        <sz val="9"/>
        <color indexed="8"/>
        <rFont val="Arial Narrow"/>
        <family val="2"/>
      </rPr>
      <t xml:space="preserve">$                 289,027
</t>
    </r>
    <r>
      <rPr>
        <sz val="9"/>
        <color indexed="8"/>
        <rFont val="Arial Narrow"/>
        <family val="2"/>
      </rPr>
      <t xml:space="preserve">$              1,243,000
</t>
    </r>
    <r>
      <rPr>
        <sz val="9"/>
        <color indexed="8"/>
        <rFont val="Arial Narrow"/>
        <family val="2"/>
      </rPr>
      <t xml:space="preserve">$                 196,207
</t>
    </r>
    <r>
      <rPr>
        <sz val="9"/>
        <color indexed="8"/>
        <rFont val="Arial Narrow"/>
        <family val="2"/>
      </rPr>
      <t xml:space="preserve">$                 651,000
</t>
    </r>
    <r>
      <rPr>
        <sz val="9"/>
        <color indexed="8"/>
        <rFont val="Arial Narrow"/>
        <family val="2"/>
      </rPr>
      <t xml:space="preserve">$                 120,000
</t>
    </r>
    <r>
      <rPr>
        <sz val="9"/>
        <color indexed="8"/>
        <rFont val="Arial Narrow"/>
        <family val="2"/>
      </rPr>
      <t xml:space="preserve">$                   34,272
</t>
    </r>
    <r>
      <rPr>
        <sz val="9"/>
        <color indexed="8"/>
        <rFont val="Arial Narrow"/>
        <family val="2"/>
      </rPr>
      <t xml:space="preserve">$                 712,840
</t>
    </r>
    <r>
      <rPr>
        <sz val="9"/>
        <color indexed="8"/>
        <rFont val="Arial Narrow"/>
        <family val="2"/>
      </rPr>
      <t xml:space="preserve">$                 568,820
</t>
    </r>
    <r>
      <rPr>
        <sz val="9"/>
        <color indexed="8"/>
        <rFont val="Arial Narrow"/>
        <family val="2"/>
      </rPr>
      <t xml:space="preserve">$                 490,518
</t>
    </r>
    <r>
      <rPr>
        <sz val="9"/>
        <color indexed="8"/>
        <rFont val="Arial Narrow"/>
        <family val="2"/>
      </rPr>
      <t xml:space="preserve">$                 650,311
</t>
    </r>
    <r>
      <rPr>
        <sz val="9"/>
        <color indexed="8"/>
        <rFont val="Arial Narrow"/>
        <family val="2"/>
      </rPr>
      <t xml:space="preserve">$                 289,027
</t>
    </r>
    <r>
      <rPr>
        <sz val="9"/>
        <color indexed="8"/>
        <rFont val="Arial Narrow"/>
        <family val="2"/>
      </rPr>
      <t xml:space="preserve">$                 104,644
</t>
    </r>
    <r>
      <rPr>
        <sz val="9"/>
        <color indexed="8"/>
        <rFont val="Arial Narrow"/>
        <family val="2"/>
      </rPr>
      <t xml:space="preserve">$                 109,670
</t>
    </r>
    <r>
      <rPr>
        <sz val="9"/>
        <color indexed="8"/>
        <rFont val="Arial Narrow"/>
        <family val="2"/>
      </rPr>
      <t xml:space="preserve">$                 361,284
</t>
    </r>
    <r>
      <rPr>
        <sz val="9"/>
        <color indexed="8"/>
        <rFont val="Arial Narrow"/>
        <family val="2"/>
      </rPr>
      <t xml:space="preserve">$                   35,700
</t>
    </r>
    <r>
      <rPr>
        <sz val="9"/>
        <color indexed="8"/>
        <rFont val="Arial Narrow"/>
        <family val="2"/>
      </rPr>
      <t xml:space="preserve">$                 216,770
</t>
    </r>
    <r>
      <rPr>
        <sz val="9"/>
        <color indexed="8"/>
        <rFont val="Arial Narrow"/>
        <family val="2"/>
      </rPr>
      <t xml:space="preserve">$                 108,385
</t>
    </r>
    <r>
      <rPr>
        <sz val="9"/>
        <color indexed="8"/>
        <rFont val="Arial Narrow"/>
        <family val="2"/>
      </rPr>
      <t xml:space="preserve">$                 252,899
</t>
    </r>
    <r>
      <rPr>
        <sz val="9"/>
        <color indexed="8"/>
        <rFont val="Arial Narrow"/>
        <family val="2"/>
      </rPr>
      <t xml:space="preserve">$                 433,541
</t>
    </r>
    <r>
      <rPr>
        <sz val="9"/>
        <color indexed="8"/>
        <rFont val="Arial Narrow"/>
        <family val="2"/>
      </rPr>
      <t>$                 433,541</t>
    </r>
  </si>
  <si>
    <r>
      <rPr>
        <sz val="9"/>
        <color indexed="8"/>
        <rFont val="Arial Narrow"/>
        <family val="2"/>
      </rPr>
      <t>modulars</t>
    </r>
  </si>
  <si>
    <r>
      <rPr>
        <sz val="9"/>
        <color indexed="8"/>
        <rFont val="Arial Narrow"/>
        <family val="2"/>
      </rPr>
      <t>Bldg F</t>
    </r>
  </si>
  <si>
    <r>
      <rPr>
        <sz val="9"/>
        <color indexed="8"/>
        <rFont val="Arial Narrow"/>
        <family val="2"/>
      </rPr>
      <t>Moderate</t>
    </r>
  </si>
  <si>
    <r>
      <rPr>
        <sz val="9"/>
        <color indexed="8"/>
        <rFont val="Arial Narrow"/>
        <family val="2"/>
      </rPr>
      <t>Equipment only</t>
    </r>
  </si>
  <si>
    <r>
      <rPr>
        <sz val="9"/>
        <color indexed="8"/>
        <rFont val="Arial Narrow"/>
        <family val="2"/>
      </rPr>
      <t>includes drinking fountains</t>
    </r>
  </si>
  <si>
    <r>
      <rPr>
        <sz val="9"/>
        <color indexed="8"/>
        <rFont val="Arial Narrow"/>
        <family val="2"/>
      </rPr>
      <t>only exterior bldg lights</t>
    </r>
  </si>
  <si>
    <r>
      <rPr>
        <b/>
        <sz val="10"/>
        <color indexed="12"/>
        <rFont val="Arial Narrow"/>
        <family val="2"/>
      </rPr>
      <t>2. Site Utilities</t>
    </r>
  </si>
  <si>
    <r>
      <rPr>
        <sz val="9"/>
        <color indexed="8"/>
        <rFont val="Arial Narrow"/>
        <family val="2"/>
      </rPr>
      <t xml:space="preserve">Based on entire campus area, upgrade existing utilities; Sanitary sewer service
</t>
    </r>
    <r>
      <rPr>
        <sz val="9"/>
        <color indexed="8"/>
        <rFont val="Arial Narrow"/>
        <family val="2"/>
      </rPr>
      <t>Storm drain service</t>
    </r>
  </si>
  <si>
    <r>
      <rPr>
        <sz val="9"/>
        <color indexed="8"/>
        <rFont val="Arial Narrow"/>
        <family val="2"/>
      </rPr>
      <t xml:space="preserve">435,600
</t>
    </r>
    <r>
      <rPr>
        <sz val="9"/>
        <color indexed="8"/>
        <rFont val="Arial Narrow"/>
        <family val="2"/>
      </rPr>
      <t>435,600</t>
    </r>
  </si>
  <si>
    <r>
      <rPr>
        <sz val="9"/>
        <color indexed="8"/>
        <rFont val="Arial Narrow"/>
        <family val="2"/>
      </rPr>
      <t>sf sf</t>
    </r>
  </si>
  <si>
    <r>
      <rPr>
        <sz val="9"/>
        <color indexed="8"/>
        <rFont val="Arial Narrow"/>
        <family val="2"/>
      </rPr>
      <t xml:space="preserve">$                      0.48
</t>
    </r>
    <r>
      <rPr>
        <sz val="9"/>
        <color indexed="8"/>
        <rFont val="Arial Narrow"/>
        <family val="2"/>
      </rPr>
      <t>$                      0.95</t>
    </r>
  </si>
  <si>
    <r>
      <rPr>
        <sz val="9"/>
        <color indexed="8"/>
        <rFont val="Arial Narrow"/>
        <family val="2"/>
      </rPr>
      <t xml:space="preserve">$                 208,000
</t>
    </r>
    <r>
      <rPr>
        <sz val="9"/>
        <color indexed="8"/>
        <rFont val="Arial Narrow"/>
        <family val="2"/>
      </rPr>
      <t>$                 415,000</t>
    </r>
  </si>
  <si>
    <r>
      <rPr>
        <b/>
        <sz val="10"/>
        <color indexed="12"/>
        <rFont val="Arial Narrow"/>
        <family val="2"/>
      </rPr>
      <t>3. New Construction (Classrooms)</t>
    </r>
  </si>
  <si>
    <r>
      <rPr>
        <sz val="9"/>
        <color indexed="8"/>
        <rFont val="Arial Narrow"/>
        <family val="2"/>
      </rPr>
      <t xml:space="preserve">Preschool, TK and Kindergarten
</t>
    </r>
    <r>
      <rPr>
        <sz val="9"/>
        <color indexed="8"/>
        <rFont val="Arial Narrow"/>
        <family val="2"/>
      </rPr>
      <t>Remove portable classrooms</t>
    </r>
  </si>
  <si>
    <r>
      <rPr>
        <sz val="9"/>
        <color indexed="8"/>
        <rFont val="Arial Narrow"/>
        <family val="2"/>
      </rPr>
      <t>ea</t>
    </r>
  </si>
  <si>
    <r>
      <rPr>
        <sz val="9"/>
        <color indexed="8"/>
        <rFont val="Arial Narrow"/>
        <family val="2"/>
      </rPr>
      <t>Classrooms, one story building</t>
    </r>
  </si>
  <si>
    <r>
      <rPr>
        <sz val="9"/>
        <color indexed="8"/>
        <rFont val="Arial Narrow"/>
        <family val="2"/>
      </rPr>
      <t>sf</t>
    </r>
  </si>
  <si>
    <r>
      <rPr>
        <sz val="9"/>
        <color indexed="8"/>
        <rFont val="Arial Narrow"/>
        <family val="2"/>
      </rPr>
      <t>Site improvements surrounding building pad</t>
    </r>
  </si>
  <si>
    <r>
      <rPr>
        <sz val="9"/>
        <color indexed="8"/>
        <rFont val="Arial Narrow"/>
        <family val="2"/>
      </rPr>
      <t>Elementary school</t>
    </r>
  </si>
  <si>
    <r>
      <rPr>
        <sz val="9"/>
        <color indexed="8"/>
        <rFont val="Arial Narrow"/>
        <family val="2"/>
      </rPr>
      <t>Remove portable classrooms</t>
    </r>
  </si>
  <si>
    <r>
      <rPr>
        <sz val="9"/>
        <color indexed="8"/>
        <rFont val="Arial Narrow"/>
        <family val="2"/>
      </rPr>
      <t>modular</t>
    </r>
  </si>
  <si>
    <r>
      <rPr>
        <b/>
        <sz val="10"/>
        <color indexed="12"/>
        <rFont val="Arial Narrow"/>
        <family val="2"/>
      </rPr>
      <t>4. Flex Labs, Science, VAPA, Theater &amp; Elective Spaces</t>
    </r>
  </si>
  <si>
    <r>
      <rPr>
        <sz val="9"/>
        <color indexed="8"/>
        <rFont val="Arial Narrow"/>
        <family val="2"/>
      </rPr>
      <t xml:space="preserve">Elementary Flex Labs, Science and Art Labs
</t>
    </r>
    <r>
      <rPr>
        <sz val="9"/>
        <color indexed="8"/>
        <rFont val="Arial Narrow"/>
        <family val="2"/>
      </rPr>
      <t>Minor modernization</t>
    </r>
  </si>
  <si>
    <r>
      <rPr>
        <b/>
        <sz val="10"/>
        <color indexed="12"/>
        <rFont val="Arial Narrow"/>
        <family val="2"/>
      </rPr>
      <t>5. Multipurpose Room (MPR) &amp; Food Service</t>
    </r>
  </si>
  <si>
    <r>
      <rPr>
        <sz val="9"/>
        <color indexed="8"/>
        <rFont val="Arial Narrow"/>
        <family val="2"/>
      </rPr>
      <t>Demolish lunch shelter</t>
    </r>
  </si>
  <si>
    <r>
      <rPr>
        <sz val="9"/>
        <color indexed="8"/>
        <rFont val="Arial Narrow"/>
        <family val="2"/>
      </rPr>
      <t>Multipurpose Rooms</t>
    </r>
  </si>
  <si>
    <r>
      <rPr>
        <sz val="9"/>
        <color indexed="8"/>
        <rFont val="Arial Narrow"/>
        <family val="2"/>
      </rPr>
      <t>Minor modernization</t>
    </r>
  </si>
  <si>
    <r>
      <rPr>
        <sz val="9"/>
        <color indexed="8"/>
        <rFont val="Arial Narrow"/>
        <family val="2"/>
      </rPr>
      <t>New AV / lighting</t>
    </r>
  </si>
  <si>
    <r>
      <rPr>
        <sz val="9"/>
        <color indexed="8"/>
        <rFont val="Arial Narrow"/>
        <family val="2"/>
      </rPr>
      <t>Food Service</t>
    </r>
  </si>
  <si>
    <r>
      <rPr>
        <sz val="9"/>
        <color indexed="8"/>
        <rFont val="Arial Narrow"/>
        <family val="2"/>
      </rPr>
      <t>Reconfigure</t>
    </r>
  </si>
  <si>
    <r>
      <rPr>
        <sz val="9"/>
        <color indexed="8"/>
        <rFont val="Arial Narrow"/>
        <family val="2"/>
      </rPr>
      <t>Food service, one story building</t>
    </r>
  </si>
  <si>
    <r>
      <rPr>
        <sz val="9"/>
        <color indexed="8"/>
        <rFont val="Arial Narrow"/>
        <family val="2"/>
      </rPr>
      <t>New lunch shelter</t>
    </r>
  </si>
  <si>
    <r>
      <rPr>
        <b/>
        <sz val="10"/>
        <color indexed="12"/>
        <rFont val="Arial Narrow"/>
        <family val="2"/>
      </rPr>
      <t>6. Library</t>
    </r>
  </si>
  <si>
    <r>
      <rPr>
        <sz val="9"/>
        <color indexed="8"/>
        <rFont val="Arial Narrow"/>
        <family val="2"/>
      </rPr>
      <t>Elementary School Library and Innovation Lab</t>
    </r>
  </si>
  <si>
    <r>
      <rPr>
        <sz val="9"/>
        <color indexed="8"/>
        <rFont val="Arial Narrow"/>
        <family val="2"/>
      </rPr>
      <t>low voltage, fire alarm, floorin</t>
    </r>
  </si>
  <si>
    <r>
      <rPr>
        <b/>
        <sz val="10"/>
        <color indexed="12"/>
        <rFont val="Arial Narrow"/>
        <family val="2"/>
      </rPr>
      <t>7. Student Support &amp; Counseling</t>
    </r>
  </si>
  <si>
    <r>
      <rPr>
        <sz val="9"/>
        <color indexed="8"/>
        <rFont val="Arial Narrow"/>
        <family val="2"/>
      </rPr>
      <t>Learning Center</t>
    </r>
  </si>
  <si>
    <r>
      <rPr>
        <sz val="9"/>
        <color indexed="8"/>
        <rFont val="Arial Narrow"/>
        <family val="2"/>
      </rPr>
      <t>Admin expansion</t>
    </r>
  </si>
  <si>
    <r>
      <rPr>
        <sz val="9"/>
        <color indexed="8"/>
        <rFont val="Arial Narrow"/>
        <family val="2"/>
      </rPr>
      <t>Wellness Center</t>
    </r>
  </si>
  <si>
    <r>
      <rPr>
        <b/>
        <sz val="10"/>
        <color indexed="12"/>
        <rFont val="Arial Narrow"/>
        <family val="2"/>
      </rPr>
      <t>8. Administration and Staff Support</t>
    </r>
  </si>
  <si>
    <r>
      <rPr>
        <sz val="9"/>
        <color indexed="8"/>
        <rFont val="Arial Narrow"/>
        <family val="2"/>
      </rPr>
      <t xml:space="preserve">Administration
</t>
    </r>
    <r>
      <rPr>
        <sz val="9"/>
        <color indexed="8"/>
        <rFont val="Arial Narrow"/>
        <family val="2"/>
      </rPr>
      <t xml:space="preserve">Minor modernization Restroom upgrades
</t>
    </r>
    <r>
      <rPr>
        <sz val="9"/>
        <color indexed="8"/>
        <rFont val="Arial Narrow"/>
        <family val="2"/>
      </rPr>
      <t>Modernization</t>
    </r>
  </si>
  <si>
    <r>
      <rPr>
        <sz val="9"/>
        <color indexed="8"/>
        <rFont val="Arial Narrow"/>
        <family val="2"/>
      </rPr>
      <t xml:space="preserve">3,500
</t>
    </r>
    <r>
      <rPr>
        <sz val="9"/>
        <color indexed="8"/>
        <rFont val="Arial Narrow"/>
        <family val="2"/>
      </rPr>
      <t>385</t>
    </r>
  </si>
  <si>
    <r>
      <rPr>
        <sz val="9"/>
        <color indexed="8"/>
        <rFont val="Arial Narrow"/>
        <family val="2"/>
      </rPr>
      <t xml:space="preserve">$                  178.50
</t>
    </r>
    <r>
      <rPr>
        <sz val="9"/>
        <color indexed="8"/>
        <rFont val="Arial Narrow"/>
        <family val="2"/>
      </rPr>
      <t>$                  238.00</t>
    </r>
  </si>
  <si>
    <r>
      <rPr>
        <sz val="9"/>
        <color indexed="8"/>
        <rFont val="Arial Narrow"/>
        <family val="2"/>
      </rPr>
      <t xml:space="preserve">$                 624,750
</t>
    </r>
    <r>
      <rPr>
        <sz val="9"/>
        <color indexed="8"/>
        <rFont val="Arial Narrow"/>
        <family val="2"/>
      </rPr>
      <t>$                   92,000</t>
    </r>
  </si>
  <si>
    <r>
      <rPr>
        <b/>
        <sz val="10"/>
        <color indexed="12"/>
        <rFont val="Arial Narrow"/>
        <family val="2"/>
      </rPr>
      <t>9. Physical Education Improvements</t>
    </r>
  </si>
  <si>
    <r>
      <rPr>
        <b/>
        <sz val="10"/>
        <color indexed="12"/>
        <rFont val="Arial Narrow"/>
        <family val="2"/>
      </rPr>
      <t>$                     -</t>
    </r>
  </si>
  <si>
    <r>
      <rPr>
        <b/>
        <sz val="10"/>
        <color indexed="12"/>
        <rFont val="Arial Narrow"/>
        <family val="2"/>
      </rPr>
      <t>$                                 -</t>
    </r>
  </si>
  <si>
    <r>
      <rPr>
        <sz val="9"/>
        <color indexed="8"/>
        <rFont val="Arial Narrow"/>
        <family val="2"/>
      </rPr>
      <t>No scope in this category</t>
    </r>
  </si>
  <si>
    <r>
      <rPr>
        <b/>
        <sz val="10"/>
        <color indexed="12"/>
        <rFont val="Arial Narrow"/>
        <family val="2"/>
      </rPr>
      <t>10. Safety and Security</t>
    </r>
  </si>
  <si>
    <r>
      <rPr>
        <sz val="9"/>
        <color indexed="8"/>
        <rFont val="Arial Narrow"/>
        <family val="2"/>
      </rPr>
      <t>Replace parking lot lights w/ LED</t>
    </r>
  </si>
  <si>
    <r>
      <rPr>
        <sz val="9"/>
        <color indexed="8"/>
        <rFont val="Arial Narrow"/>
        <family val="2"/>
      </rPr>
      <t>New drop-off area</t>
    </r>
  </si>
  <si>
    <r>
      <rPr>
        <sz val="9"/>
        <color indexed="8"/>
        <rFont val="Arial Narrow"/>
        <family val="2"/>
      </rPr>
      <t>New concrete pedestrian paving</t>
    </r>
  </si>
  <si>
    <r>
      <rPr>
        <sz val="9"/>
        <color indexed="8"/>
        <rFont val="Arial Narrow"/>
        <family val="2"/>
      </rPr>
      <t>Remove / replace retaining wall</t>
    </r>
  </si>
  <si>
    <r>
      <rPr>
        <sz val="9"/>
        <color indexed="8"/>
        <rFont val="Arial Narrow"/>
        <family val="2"/>
      </rPr>
      <t>lf</t>
    </r>
  </si>
  <si>
    <r>
      <rPr>
        <sz val="9"/>
        <color indexed="8"/>
        <rFont val="Arial Narrow"/>
        <family val="2"/>
      </rPr>
      <t>ADA path of travel upgrades</t>
    </r>
  </si>
  <si>
    <r>
      <rPr>
        <sz val="9"/>
        <color indexed="8"/>
        <rFont val="Arial Narrow"/>
        <family val="2"/>
      </rPr>
      <t>ls</t>
    </r>
  </si>
  <si>
    <r>
      <rPr>
        <sz val="9"/>
        <color indexed="8"/>
        <rFont val="Arial Narrow"/>
        <family val="2"/>
      </rPr>
      <t>Rolling chain link gate</t>
    </r>
  </si>
  <si>
    <r>
      <rPr>
        <sz val="9"/>
        <color indexed="8"/>
        <rFont val="Arial Narrow"/>
        <family val="2"/>
      </rPr>
      <t>Decorative metal fencing and gates</t>
    </r>
  </si>
  <si>
    <r>
      <rPr>
        <sz val="9"/>
        <color indexed="8"/>
        <rFont val="Arial Narrow"/>
        <family val="2"/>
      </rPr>
      <t>Rolling decorative metal gate</t>
    </r>
  </si>
  <si>
    <r>
      <rPr>
        <sz val="9"/>
        <color indexed="8"/>
        <rFont val="Arial Narrow"/>
        <family val="2"/>
      </rPr>
      <t>New exterior lighting for student safety</t>
    </r>
  </si>
  <si>
    <r>
      <rPr>
        <sz val="9"/>
        <color indexed="8"/>
        <rFont val="Arial Narrow"/>
        <family val="2"/>
      </rPr>
      <t>New safety locks to existing classroom doors</t>
    </r>
  </si>
  <si>
    <r>
      <rPr>
        <sz val="9"/>
        <color indexed="8"/>
        <rFont val="Arial Narrow"/>
        <family val="2"/>
      </rPr>
      <t>New emergency signs and posts</t>
    </r>
  </si>
  <si>
    <r>
      <rPr>
        <sz val="9"/>
        <color indexed="8"/>
        <rFont val="Arial Narrow"/>
        <family val="2"/>
      </rPr>
      <t>Landscape buffer at existing fence</t>
    </r>
  </si>
  <si>
    <r>
      <rPr>
        <sz val="9"/>
        <color indexed="8"/>
        <rFont val="Arial Narrow"/>
        <family val="2"/>
      </rPr>
      <t>Along Huntington</t>
    </r>
  </si>
  <si>
    <r>
      <rPr>
        <sz val="9"/>
        <color indexed="8"/>
        <rFont val="Arial Narrow"/>
        <family val="2"/>
      </rPr>
      <t>Security cameras</t>
    </r>
  </si>
  <si>
    <r>
      <rPr>
        <b/>
        <sz val="10"/>
        <color indexed="12"/>
        <rFont val="Arial Narrow"/>
        <family val="2"/>
      </rPr>
      <t>11. Outdoor Learning Environments &amp; Quads</t>
    </r>
  </si>
  <si>
    <r>
      <rPr>
        <sz val="9"/>
        <color indexed="8"/>
        <rFont val="Arial Narrow"/>
        <family val="2"/>
      </rPr>
      <t>Landscape enhancements</t>
    </r>
  </si>
  <si>
    <r>
      <rPr>
        <sz val="9"/>
        <color indexed="8"/>
        <rFont val="Arial Narrow"/>
        <family val="2"/>
      </rPr>
      <t>at front</t>
    </r>
  </si>
  <si>
    <r>
      <rPr>
        <sz val="9"/>
        <color indexed="8"/>
        <rFont val="Arial Narrow"/>
        <family val="2"/>
      </rPr>
      <t>New learning courts</t>
    </r>
  </si>
  <si>
    <r>
      <rPr>
        <sz val="9"/>
        <color indexed="8"/>
        <rFont val="Arial Narrow"/>
        <family val="2"/>
      </rPr>
      <t>enhancement</t>
    </r>
  </si>
  <si>
    <r>
      <rPr>
        <b/>
        <sz val="10"/>
        <color indexed="12"/>
        <rFont val="Arial Narrow"/>
        <family val="2"/>
      </rPr>
      <t>12. Exterior Play Spaces, Playfields &amp; Hardcourts</t>
    </r>
  </si>
  <si>
    <r>
      <rPr>
        <sz val="9"/>
        <color indexed="8"/>
        <rFont val="Arial Narrow"/>
        <family val="2"/>
      </rPr>
      <t xml:space="preserve">Kindergarten Play Yard New rubber surfacing Play apparatus Shade structure
</t>
    </r>
    <r>
      <rPr>
        <sz val="9"/>
        <color indexed="8"/>
        <rFont val="Arial Narrow"/>
        <family val="2"/>
      </rPr>
      <t xml:space="preserve">Decorative metal fencing and gates Resurface and repair hardcourts Play yard
</t>
    </r>
    <r>
      <rPr>
        <sz val="9"/>
        <color indexed="8"/>
        <rFont val="Arial Narrow"/>
        <family val="2"/>
      </rPr>
      <t xml:space="preserve">TK Play Yard
</t>
    </r>
    <r>
      <rPr>
        <sz val="9"/>
        <color indexed="8"/>
        <rFont val="Arial Narrow"/>
        <family val="2"/>
      </rPr>
      <t xml:space="preserve">New rubber surfacing Play apparatus Shade structure
</t>
    </r>
    <r>
      <rPr>
        <sz val="9"/>
        <color indexed="8"/>
        <rFont val="Arial Narrow"/>
        <family val="2"/>
      </rPr>
      <t xml:space="preserve">Decorative metal fencing and gates New hardcourts
</t>
    </r>
    <r>
      <rPr>
        <sz val="9"/>
        <color indexed="8"/>
        <rFont val="Arial Narrow"/>
        <family val="2"/>
      </rPr>
      <t xml:space="preserve">Elementary play yard and hardcourts New rubber surfacing
</t>
    </r>
    <r>
      <rPr>
        <sz val="9"/>
        <color indexed="8"/>
        <rFont val="Arial Narrow"/>
        <family val="2"/>
      </rPr>
      <t xml:space="preserve">Play apparatus Shade structure
</t>
    </r>
    <r>
      <rPr>
        <sz val="9"/>
        <color indexed="8"/>
        <rFont val="Arial Narrow"/>
        <family val="2"/>
      </rPr>
      <t xml:space="preserve">Resurface and repair hardcourts New hardcourts
</t>
    </r>
    <r>
      <rPr>
        <sz val="9"/>
        <color indexed="8"/>
        <rFont val="Arial Narrow"/>
        <family val="2"/>
      </rPr>
      <t xml:space="preserve">New basketball courts and hoops New ball walls
</t>
    </r>
    <r>
      <rPr>
        <sz val="9"/>
        <color indexed="8"/>
        <rFont val="Arial Narrow"/>
        <family val="2"/>
      </rPr>
      <t>Repair playfields (sod)</t>
    </r>
  </si>
  <si>
    <r>
      <rPr>
        <sz val="9"/>
        <color indexed="8"/>
        <rFont val="Arial Narrow"/>
        <family val="2"/>
      </rPr>
      <t>$                         -</t>
    </r>
  </si>
  <si>
    <r>
      <rPr>
        <sz val="9"/>
        <color indexed="8"/>
        <rFont val="Arial Narrow"/>
        <family val="2"/>
      </rPr>
      <t>Solar</t>
    </r>
  </si>
  <si>
    <r>
      <rPr>
        <b/>
        <sz val="10"/>
        <color indexed="12"/>
        <rFont val="Arial Narrow"/>
        <family val="2"/>
      </rPr>
      <t>13. Next Generation Classroom Flexibility</t>
    </r>
  </si>
  <si>
    <t>Flexible furniture per classroom (direct cost) Flexible furniture per library (direct cost)
Flexible furniture per MPR / cafeteria (direct cost)</t>
  </si>
  <si>
    <r>
      <rPr>
        <sz val="9"/>
        <color indexed="8"/>
        <rFont val="Arial Narrow"/>
        <family val="2"/>
      </rPr>
      <t xml:space="preserve">33
</t>
    </r>
    <r>
      <rPr>
        <sz val="9"/>
        <color indexed="8"/>
        <rFont val="Arial Narrow"/>
        <family val="2"/>
      </rPr>
      <t xml:space="preserve">1
</t>
    </r>
    <r>
      <rPr>
        <sz val="9"/>
        <color indexed="8"/>
        <rFont val="Arial Narrow"/>
        <family val="2"/>
      </rPr>
      <t>1</t>
    </r>
  </si>
  <si>
    <r>
      <rPr>
        <sz val="9"/>
        <color indexed="8"/>
        <rFont val="Arial Narrow"/>
        <family val="2"/>
      </rPr>
      <t xml:space="preserve">ea ea
</t>
    </r>
    <r>
      <rPr>
        <sz val="9"/>
        <color indexed="8"/>
        <rFont val="Arial Narrow"/>
        <family val="2"/>
      </rPr>
      <t>ea</t>
    </r>
  </si>
  <si>
    <r>
      <rPr>
        <sz val="9"/>
        <color indexed="8"/>
        <rFont val="Arial Narrow"/>
        <family val="2"/>
      </rPr>
      <t xml:space="preserve">$             41,650.00
</t>
    </r>
    <r>
      <rPr>
        <sz val="9"/>
        <color indexed="8"/>
        <rFont val="Arial Narrow"/>
        <family val="2"/>
      </rPr>
      <t xml:space="preserve">$             60,000.00
</t>
    </r>
    <r>
      <rPr>
        <sz val="9"/>
        <color indexed="8"/>
        <rFont val="Arial Narrow"/>
        <family val="2"/>
      </rPr>
      <t>$             60,000.00</t>
    </r>
  </si>
  <si>
    <r>
      <rPr>
        <sz val="9"/>
        <color indexed="8"/>
        <rFont val="Arial Narrow"/>
        <family val="2"/>
      </rPr>
      <t xml:space="preserve">$              1,375,000
</t>
    </r>
    <r>
      <rPr>
        <sz val="9"/>
        <color indexed="8"/>
        <rFont val="Arial Narrow"/>
        <family val="2"/>
      </rPr>
      <t xml:space="preserve">$                   60,000
</t>
    </r>
    <r>
      <rPr>
        <sz val="9"/>
        <color indexed="8"/>
        <rFont val="Arial Narrow"/>
        <family val="2"/>
      </rPr>
      <t>$                   60,000</t>
    </r>
  </si>
  <si>
    <r>
      <rPr>
        <sz val="9"/>
        <color indexed="8"/>
        <rFont val="Arial Narrow"/>
        <family val="2"/>
      </rPr>
      <t>Flexible furniture per outdoor lunch area  (direct cost)</t>
    </r>
  </si>
  <si>
    <r>
      <rPr>
        <b/>
        <sz val="10"/>
        <color indexed="12"/>
        <rFont val="Arial Narrow"/>
        <family val="2"/>
      </rPr>
      <t>14. Technology Equipment</t>
    </r>
  </si>
  <si>
    <r>
      <rPr>
        <sz val="9"/>
        <color indexed="8"/>
        <rFont val="Arial Narrow"/>
        <family val="2"/>
      </rPr>
      <t xml:space="preserve">Classroom technology package - smart boards, projector,
</t>
    </r>
    <r>
      <rPr>
        <sz val="9"/>
        <color indexed="8"/>
        <rFont val="Arial Narrow"/>
        <family val="2"/>
      </rPr>
      <t>project mounts, flat screen monitor, audio system, etc. (direct cost)</t>
    </r>
  </si>
  <si>
    <r>
      <rPr>
        <b/>
        <sz val="10"/>
        <color indexed="8"/>
        <rFont val="Arial Narrow"/>
        <family val="2"/>
      </rPr>
      <t>TOTAL PROJECT COSTS (2024$)</t>
    </r>
  </si>
  <si>
    <r>
      <rPr>
        <b/>
        <sz val="12"/>
        <color indexed="12"/>
        <rFont val="Arial Narrow"/>
        <family val="2"/>
      </rPr>
      <t>Valentine ES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</si>
  <si>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Windows
</t>
    </r>
    <r>
      <rPr>
        <sz val="9"/>
        <color indexed="8"/>
        <rFont val="Arial Narrow"/>
        <family val="2"/>
      </rPr>
      <t xml:space="preserve">Replace existing windows Doors
</t>
    </r>
    <r>
      <rPr>
        <sz val="9"/>
        <color indexed="8"/>
        <rFont val="Arial Narrow"/>
        <family val="2"/>
      </rPr>
      <t xml:space="preserve">Replace existing doors Repair existing doors
</t>
    </r>
    <r>
      <rPr>
        <sz val="9"/>
        <color indexed="8"/>
        <rFont val="Arial Narrow"/>
        <family val="2"/>
      </rPr>
      <t xml:space="preserve">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Emergency lighting
</t>
    </r>
    <r>
      <rPr>
        <sz val="9"/>
        <color indexed="8"/>
        <rFont val="Arial Narrow"/>
        <family val="2"/>
      </rPr>
      <t xml:space="preserve">PA / emergency communication systems Intrusion alarms
</t>
    </r>
    <r>
      <rPr>
        <sz val="9"/>
        <color indexed="8"/>
        <rFont val="Arial Narrow"/>
        <family val="2"/>
      </rPr>
      <t xml:space="preserve">AV system
</t>
    </r>
    <r>
      <rPr>
        <sz val="9"/>
        <color indexed="8"/>
        <rFont val="Arial Narrow"/>
        <family val="2"/>
      </rPr>
      <t>Upgrade backbone, wireless access points, and switches (direct cost)</t>
    </r>
  </si>
  <si>
    <r>
      <rPr>
        <sz val="9"/>
        <color indexed="8"/>
        <rFont val="Arial Narrow"/>
        <family val="2"/>
      </rPr>
      <t xml:space="preserve">2,880
</t>
    </r>
    <r>
      <rPr>
        <sz val="9"/>
        <color indexed="8"/>
        <rFont val="Arial Narrow"/>
        <family val="2"/>
      </rPr>
      <t xml:space="preserve">2,880
</t>
    </r>
    <r>
      <rPr>
        <sz val="9"/>
        <color indexed="8"/>
        <rFont val="Arial Narrow"/>
        <family val="2"/>
      </rPr>
      <t xml:space="preserve">20,520
</t>
    </r>
    <r>
      <rPr>
        <sz val="9"/>
        <color indexed="8"/>
        <rFont val="Arial Narrow"/>
        <family val="2"/>
      </rPr>
      <t xml:space="preserve">23,400
</t>
    </r>
    <r>
      <rPr>
        <sz val="9"/>
        <color indexed="8"/>
        <rFont val="Arial Narrow"/>
        <family val="2"/>
      </rPr>
      <t xml:space="preserve">2,880
</t>
    </r>
    <r>
      <rPr>
        <sz val="9"/>
        <color indexed="8"/>
        <rFont val="Arial Narrow"/>
        <family val="2"/>
      </rPr>
      <t xml:space="preserve">20,520
</t>
    </r>
    <r>
      <rPr>
        <sz val="9"/>
        <color indexed="8"/>
        <rFont val="Arial Narrow"/>
        <family val="2"/>
      </rPr>
      <t xml:space="preserve">23,400
</t>
    </r>
    <r>
      <rPr>
        <sz val="9"/>
        <color indexed="8"/>
        <rFont val="Arial Narrow"/>
        <family val="2"/>
      </rPr>
      <t xml:space="preserve">2,880
</t>
    </r>
    <r>
      <rPr>
        <sz val="9"/>
        <color indexed="8"/>
        <rFont val="Arial Narrow"/>
        <family val="2"/>
      </rPr>
      <t xml:space="preserve">2,880
</t>
    </r>
    <r>
      <rPr>
        <sz val="9"/>
        <color indexed="8"/>
        <rFont val="Arial Narrow"/>
        <family val="2"/>
      </rPr>
      <t xml:space="preserve">2,880
</t>
    </r>
    <r>
      <rPr>
        <sz val="9"/>
        <color indexed="8"/>
        <rFont val="Arial Narrow"/>
        <family val="2"/>
      </rPr>
      <t xml:space="preserve">18,900
</t>
    </r>
    <r>
      <rPr>
        <sz val="9"/>
        <color indexed="8"/>
        <rFont val="Arial Narrow"/>
        <family val="2"/>
      </rPr>
      <t xml:space="preserve">3,150
</t>
    </r>
    <r>
      <rPr>
        <sz val="9"/>
        <color indexed="8"/>
        <rFont val="Arial Narrow"/>
        <family val="2"/>
      </rPr>
      <t xml:space="preserve">3,150
</t>
    </r>
    <r>
      <rPr>
        <sz val="9"/>
        <color indexed="8"/>
        <rFont val="Arial Narrow"/>
        <family val="2"/>
      </rPr>
      <t xml:space="preserve">5,000
</t>
    </r>
    <r>
      <rPr>
        <sz val="9"/>
        <color indexed="8"/>
        <rFont val="Arial Narrow"/>
        <family val="2"/>
      </rPr>
      <t xml:space="preserve">3,375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20,520
</t>
    </r>
    <r>
      <rPr>
        <sz val="9"/>
        <color indexed="8"/>
        <rFont val="Arial Narrow"/>
        <family val="2"/>
      </rPr>
      <t xml:space="preserve">2,880
</t>
    </r>
    <r>
      <rPr>
        <sz val="9"/>
        <color indexed="8"/>
        <rFont val="Arial Narrow"/>
        <family val="2"/>
      </rPr>
      <t xml:space="preserve">23,400
</t>
    </r>
    <r>
      <rPr>
        <sz val="9"/>
        <color indexed="8"/>
        <rFont val="Arial Narrow"/>
        <family val="2"/>
      </rPr>
      <t xml:space="preserve">1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23,400</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</si>
  <si>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t>
    </r>
    <r>
      <rPr>
        <sz val="9"/>
        <color indexed="8"/>
        <rFont val="Arial Narrow"/>
        <family val="2"/>
      </rPr>
      <t xml:space="preserve">sf sf sf sf
</t>
    </r>
    <r>
      <rPr>
        <sz val="9"/>
        <color indexed="8"/>
        <rFont val="Arial Narrow"/>
        <family val="2"/>
      </rPr>
      <t xml:space="preserve">sf
</t>
    </r>
    <r>
      <rPr>
        <sz val="9"/>
        <color indexed="8"/>
        <rFont val="Arial Narrow"/>
        <family val="2"/>
      </rPr>
      <t xml:space="preserve">sf sf sf sf sf
</t>
    </r>
    <r>
      <rPr>
        <sz val="9"/>
        <color indexed="8"/>
        <rFont val="Arial Narrow"/>
        <family val="2"/>
      </rPr>
      <t xml:space="preserve">sf ls sf sf sf 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</si>
  <si>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45.22
</t>
    </r>
    <r>
      <rPr>
        <sz val="9"/>
        <color indexed="8"/>
        <rFont val="Arial Narrow"/>
        <family val="2"/>
      </rPr>
      <t xml:space="preserve">$                    21.42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38.08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3.57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14.28</t>
    </r>
  </si>
  <si>
    <t>$                 119,952
$                 103,000
$                 195,350
$              1,059,000
$                   62,000
$                 146,513
$                 502,000
$                 120,000
$                   34,272
$                   34,272
$                 787,185
$                 131,198
$                 131,198
$                 208,250
$                 803,250
$                 417,690
$                 501,228
$                 222,768
$                   78,140
$                 109,670
$                 278,460
$                   35,700
$                   83,538
$                 167,076
$                   83,538
$                 194,922
$                 334,152</t>
  </si>
  <si>
    <r>
      <rPr>
        <sz val="9"/>
        <color indexed="8"/>
        <rFont val="Arial Narrow"/>
        <family val="2"/>
      </rPr>
      <t>TK</t>
    </r>
  </si>
  <si>
    <r>
      <rPr>
        <sz val="9"/>
        <color indexed="8"/>
        <rFont val="Arial Narrow"/>
        <family val="2"/>
      </rPr>
      <t>Bldg J</t>
    </r>
  </si>
  <si>
    <r>
      <rPr>
        <sz val="9"/>
        <color indexed="8"/>
        <rFont val="Arial Narrow"/>
        <family val="2"/>
      </rPr>
      <t>Covered walkway</t>
    </r>
  </si>
  <si>
    <r>
      <rPr>
        <sz val="9"/>
        <color indexed="8"/>
        <rFont val="Arial Narrow"/>
        <family val="2"/>
      </rPr>
      <t>Bldg D2</t>
    </r>
  </si>
  <si>
    <r>
      <rPr>
        <sz val="9"/>
        <color indexed="8"/>
        <rFont val="Arial Narrow"/>
        <family val="2"/>
      </rPr>
      <t>Bldg F2</t>
    </r>
  </si>
  <si>
    <r>
      <rPr>
        <sz val="9"/>
        <color indexed="8"/>
        <rFont val="Arial Narrow"/>
        <family val="2"/>
      </rPr>
      <t>Upgrade fiber to support (direct cost)</t>
    </r>
  </si>
  <si>
    <r>
      <rPr>
        <sz val="9"/>
        <color indexed="8"/>
        <rFont val="Arial Narrow"/>
        <family val="2"/>
      </rPr>
      <t xml:space="preserve">Based on entire campus area, upgrade existing utilities; Sanitary sewer service
</t>
    </r>
    <r>
      <rPr>
        <sz val="9"/>
        <color indexed="8"/>
        <rFont val="Arial Narrow"/>
        <family val="2"/>
      </rPr>
      <t xml:space="preserve">Electrical mains and distribution Storm drain service
</t>
    </r>
    <r>
      <rPr>
        <sz val="9"/>
        <color indexed="8"/>
        <rFont val="Arial Narrow"/>
        <family val="2"/>
      </rPr>
      <t>Electrical capacity upgrades</t>
    </r>
  </si>
  <si>
    <r>
      <rPr>
        <sz val="9"/>
        <color indexed="8"/>
        <rFont val="Arial Narrow"/>
        <family val="2"/>
      </rPr>
      <t xml:space="preserve">339,768
</t>
    </r>
    <r>
      <rPr>
        <sz val="9"/>
        <color indexed="8"/>
        <rFont val="Arial Narrow"/>
        <family val="2"/>
      </rPr>
      <t xml:space="preserve">339,768
</t>
    </r>
    <r>
      <rPr>
        <sz val="9"/>
        <color indexed="8"/>
        <rFont val="Arial Narrow"/>
        <family val="2"/>
      </rPr>
      <t xml:space="preserve">339,768
</t>
    </r>
    <r>
      <rPr>
        <sz val="9"/>
        <color indexed="8"/>
        <rFont val="Arial Narrow"/>
        <family val="2"/>
      </rPr>
      <t>1</t>
    </r>
  </si>
  <si>
    <r>
      <rPr>
        <sz val="9"/>
        <color indexed="8"/>
        <rFont val="Arial Narrow"/>
        <family val="2"/>
      </rPr>
      <t>sf sf sf ls</t>
    </r>
  </si>
  <si>
    <r>
      <rPr>
        <sz val="9"/>
        <color indexed="8"/>
        <rFont val="Arial Narrow"/>
        <family val="2"/>
      </rPr>
      <t xml:space="preserve">$                      0.48
</t>
    </r>
    <r>
      <rPr>
        <sz val="9"/>
        <color indexed="8"/>
        <rFont val="Arial Narrow"/>
        <family val="2"/>
      </rPr>
      <t xml:space="preserve">$                      0.84
</t>
    </r>
    <r>
      <rPr>
        <sz val="9"/>
        <color indexed="8"/>
        <rFont val="Arial Narrow"/>
        <family val="2"/>
      </rPr>
      <t xml:space="preserve">$                      0.71
</t>
    </r>
    <r>
      <rPr>
        <sz val="9"/>
        <color indexed="8"/>
        <rFont val="Arial Narrow"/>
        <family val="2"/>
      </rPr>
      <t>$           416,500.00</t>
    </r>
  </si>
  <si>
    <r>
      <rPr>
        <sz val="9"/>
        <color indexed="8"/>
        <rFont val="Arial Narrow"/>
        <family val="2"/>
      </rPr>
      <t xml:space="preserve">$                 162,000
</t>
    </r>
    <r>
      <rPr>
        <sz val="9"/>
        <color indexed="8"/>
        <rFont val="Arial Narrow"/>
        <family val="2"/>
      </rPr>
      <t xml:space="preserve">$                 285,000
</t>
    </r>
    <r>
      <rPr>
        <sz val="9"/>
        <color indexed="8"/>
        <rFont val="Arial Narrow"/>
        <family val="2"/>
      </rPr>
      <t xml:space="preserve">$                 243,000
</t>
    </r>
    <r>
      <rPr>
        <sz val="9"/>
        <color indexed="8"/>
        <rFont val="Arial Narrow"/>
        <family val="2"/>
      </rPr>
      <t>$                 417,000</t>
    </r>
  </si>
  <si>
    <r>
      <rPr>
        <sz val="9"/>
        <color indexed="8"/>
        <rFont val="Arial Narrow"/>
        <family val="2"/>
      </rPr>
      <t>Preschool, TK and Kindergarten</t>
    </r>
  </si>
  <si>
    <r>
      <rPr>
        <sz val="9"/>
        <color indexed="8"/>
        <rFont val="Arial Narrow"/>
        <family val="2"/>
      </rPr>
      <t>Demolish existing buildings</t>
    </r>
  </si>
  <si>
    <r>
      <rPr>
        <sz val="9"/>
        <color indexed="8"/>
        <rFont val="Arial Narrow"/>
        <family val="2"/>
      </rPr>
      <t>Classrooms, two story building</t>
    </r>
  </si>
  <si>
    <r>
      <rPr>
        <sz val="9"/>
        <color indexed="8"/>
        <rFont val="Arial Narrow"/>
        <family val="2"/>
      </rPr>
      <t>New 2-story CR Bldg including</t>
    </r>
  </si>
  <si>
    <r>
      <rPr>
        <sz val="9"/>
        <color indexed="8"/>
        <rFont val="Arial Narrow"/>
        <family val="2"/>
      </rPr>
      <t>Elementary Flex Labs, Science and Art Labs Reconfigure</t>
    </r>
  </si>
  <si>
    <r>
      <rPr>
        <sz val="9"/>
        <color indexed="8"/>
        <rFont val="Arial Narrow"/>
        <family val="2"/>
      </rPr>
      <t>STEM lab</t>
    </r>
  </si>
  <si>
    <r>
      <rPr>
        <sz val="9"/>
        <color indexed="8"/>
        <rFont val="Arial Narrow"/>
        <family val="2"/>
      </rPr>
      <t>MPR, one story building</t>
    </r>
  </si>
  <si>
    <r>
      <rPr>
        <sz val="9"/>
        <color indexed="8"/>
        <rFont val="Arial Narrow"/>
        <family val="2"/>
      </rPr>
      <t>New trash enclosure</t>
    </r>
  </si>
  <si>
    <r>
      <rPr>
        <sz val="9"/>
        <color indexed="8"/>
        <rFont val="Arial Narrow"/>
        <family val="2"/>
      </rPr>
      <t xml:space="preserve">Elementary School Library and Innovation Lab
</t>
    </r>
    <r>
      <rPr>
        <sz val="9"/>
        <color indexed="8"/>
        <rFont val="Arial Narrow"/>
        <family val="2"/>
      </rPr>
      <t>Reconfigure</t>
    </r>
  </si>
  <si>
    <r>
      <rPr>
        <sz val="9"/>
        <color indexed="8"/>
        <rFont val="Arial Narrow"/>
        <family val="2"/>
      </rPr>
      <t xml:space="preserve">Administration
</t>
    </r>
    <r>
      <rPr>
        <sz val="9"/>
        <color indexed="8"/>
        <rFont val="Arial Narrow"/>
        <family val="2"/>
      </rPr>
      <t>Minor modernization Reconfigure</t>
    </r>
  </si>
  <si>
    <r>
      <rPr>
        <sz val="9"/>
        <color indexed="8"/>
        <rFont val="Arial Narrow"/>
        <family val="2"/>
      </rPr>
      <t xml:space="preserve">4,160
</t>
    </r>
    <r>
      <rPr>
        <sz val="9"/>
        <color indexed="8"/>
        <rFont val="Arial Narrow"/>
        <family val="2"/>
      </rPr>
      <t>945</t>
    </r>
  </si>
  <si>
    <r>
      <rPr>
        <sz val="9"/>
        <color indexed="8"/>
        <rFont val="Arial Narrow"/>
        <family val="2"/>
      </rPr>
      <t xml:space="preserve">$                  178.50
</t>
    </r>
    <r>
      <rPr>
        <sz val="9"/>
        <color indexed="8"/>
        <rFont val="Arial Narrow"/>
        <family val="2"/>
      </rPr>
      <t>$                  446.25</t>
    </r>
  </si>
  <si>
    <r>
      <rPr>
        <sz val="9"/>
        <color indexed="8"/>
        <rFont val="Arial Narrow"/>
        <family val="2"/>
      </rPr>
      <t xml:space="preserve">$                 742,560
</t>
    </r>
    <r>
      <rPr>
        <sz val="9"/>
        <color indexed="8"/>
        <rFont val="Arial Narrow"/>
        <family val="2"/>
      </rPr>
      <t>$                 421,706</t>
    </r>
  </si>
  <si>
    <r>
      <rPr>
        <sz val="9"/>
        <color indexed="8"/>
        <rFont val="Arial Narrow"/>
        <family val="2"/>
      </rPr>
      <t>New parking lot</t>
    </r>
  </si>
  <si>
    <r>
      <rPr>
        <sz val="9"/>
        <color indexed="8"/>
        <rFont val="Arial Narrow"/>
        <family val="2"/>
      </rPr>
      <t>Perimeter CMU wall</t>
    </r>
  </si>
  <si>
    <r>
      <rPr>
        <sz val="9"/>
        <color indexed="8"/>
        <rFont val="Arial Narrow"/>
        <family val="2"/>
      </rPr>
      <t>Shade sails</t>
    </r>
  </si>
  <si>
    <r>
      <rPr>
        <sz val="9"/>
        <color indexed="8"/>
        <rFont val="Arial Narrow"/>
        <family val="2"/>
      </rPr>
      <t>Enhance learning courts</t>
    </r>
  </si>
  <si>
    <r>
      <rPr>
        <sz val="9"/>
        <color indexed="8"/>
        <rFont val="Arial Narrow"/>
        <family val="2"/>
      </rPr>
      <t>TK / Kindergarten Play Yard</t>
    </r>
  </si>
  <si>
    <r>
      <rPr>
        <sz val="9"/>
        <color indexed="8"/>
        <rFont val="Arial Narrow"/>
        <family val="2"/>
      </rPr>
      <t>New rubber surfacing</t>
    </r>
  </si>
  <si>
    <r>
      <rPr>
        <sz val="9"/>
        <color indexed="8"/>
        <rFont val="Arial Narrow"/>
        <family val="2"/>
      </rPr>
      <t>Play apparatus</t>
    </r>
  </si>
  <si>
    <r>
      <rPr>
        <sz val="9"/>
        <color indexed="8"/>
        <rFont val="Arial Narrow"/>
        <family val="2"/>
      </rPr>
      <t>Shade structure</t>
    </r>
  </si>
  <si>
    <r>
      <rPr>
        <sz val="9"/>
        <color indexed="8"/>
        <rFont val="Arial Narrow"/>
        <family val="2"/>
      </rPr>
      <t>Enhance existing yard</t>
    </r>
  </si>
  <si>
    <r>
      <rPr>
        <sz val="9"/>
        <color indexed="8"/>
        <rFont val="Arial Narrow"/>
        <family val="2"/>
      </rPr>
      <t>Elementary play yard and hardcourts</t>
    </r>
  </si>
  <si>
    <r>
      <rPr>
        <sz val="9"/>
        <color indexed="8"/>
        <rFont val="Arial Narrow"/>
        <family val="2"/>
      </rPr>
      <t>Resurface and repair hardcourts</t>
    </r>
  </si>
  <si>
    <r>
      <rPr>
        <sz val="9"/>
        <color indexed="8"/>
        <rFont val="Arial Narrow"/>
        <family val="2"/>
      </rPr>
      <t>Repair playfields (sod)</t>
    </r>
  </si>
  <si>
    <r>
      <rPr>
        <sz val="9"/>
        <color indexed="8"/>
        <rFont val="Arial Narrow"/>
        <family val="2"/>
      </rPr>
      <t>Flexible furniture per classroom (direct cost)</t>
    </r>
  </si>
  <si>
    <r>
      <rPr>
        <sz val="9"/>
        <color indexed="8"/>
        <rFont val="Arial Narrow"/>
        <family val="2"/>
      </rPr>
      <t>Flexible furniture per library (direct cost)</t>
    </r>
  </si>
  <si>
    <r>
      <rPr>
        <b/>
        <sz val="12"/>
        <color indexed="12"/>
        <rFont val="Arial Narrow"/>
        <family val="2"/>
      </rPr>
      <t>Huntington MS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</si>
  <si>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Windows
</t>
    </r>
    <r>
      <rPr>
        <sz val="9"/>
        <color indexed="8"/>
        <rFont val="Arial Narrow"/>
        <family val="2"/>
      </rPr>
      <t xml:space="preserve">Replace existing windows Doors
</t>
    </r>
    <r>
      <rPr>
        <sz val="9"/>
        <color indexed="8"/>
        <rFont val="Arial Narrow"/>
        <family val="2"/>
      </rPr>
      <t xml:space="preserve">Repair existing doors 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Replace roofing Replace roofing Restroom upgrades Modernization
</t>
    </r>
    <r>
      <rPr>
        <sz val="9"/>
        <color indexed="8"/>
        <rFont val="Arial Narrow"/>
        <family val="2"/>
      </rPr>
      <t xml:space="preserve">Reconfigure Building systems
</t>
    </r>
    <r>
      <rPr>
        <sz val="9"/>
        <color indexed="8"/>
        <rFont val="Arial Narrow"/>
        <family val="2"/>
      </rPr>
      <t xml:space="preserve">HVAC upgrades Plumbing upgrades EMS systems upgrades
</t>
    </r>
    <r>
      <rPr>
        <sz val="9"/>
        <color indexed="8"/>
        <rFont val="Arial Narrow"/>
        <family val="2"/>
      </rPr>
      <t xml:space="preserve">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Upgrade backbone, wireless access points, and switches (direct cost)</t>
    </r>
  </si>
  <si>
    <r>
      <rPr>
        <sz val="9"/>
        <color indexed="8"/>
        <rFont val="Arial Narrow"/>
        <family val="2"/>
      </rPr>
      <t xml:space="preserve">960
</t>
    </r>
    <r>
      <rPr>
        <sz val="9"/>
        <color indexed="8"/>
        <rFont val="Arial Narrow"/>
        <family val="2"/>
      </rPr>
      <t xml:space="preserve">960
</t>
    </r>
    <r>
      <rPr>
        <sz val="9"/>
        <color indexed="8"/>
        <rFont val="Arial Narrow"/>
        <family val="2"/>
      </rPr>
      <t xml:space="preserve">20,305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960
</t>
    </r>
    <r>
      <rPr>
        <sz val="9"/>
        <color indexed="8"/>
        <rFont val="Arial Narrow"/>
        <family val="2"/>
      </rPr>
      <t xml:space="preserve">960
</t>
    </r>
    <r>
      <rPr>
        <sz val="9"/>
        <color indexed="8"/>
        <rFont val="Arial Narrow"/>
        <family val="2"/>
      </rPr>
      <t xml:space="preserve">960
</t>
    </r>
    <r>
      <rPr>
        <sz val="9"/>
        <color indexed="8"/>
        <rFont val="Arial Narrow"/>
        <family val="2"/>
      </rPr>
      <t xml:space="preserve">14,000
</t>
    </r>
    <r>
      <rPr>
        <sz val="9"/>
        <color indexed="8"/>
        <rFont val="Arial Narrow"/>
        <family val="2"/>
      </rPr>
      <t xml:space="preserve">8,200
</t>
    </r>
    <r>
      <rPr>
        <sz val="9"/>
        <color indexed="8"/>
        <rFont val="Arial Narrow"/>
        <family val="2"/>
      </rPr>
      <t xml:space="preserve">8,700
</t>
    </r>
    <r>
      <rPr>
        <sz val="9"/>
        <color indexed="8"/>
        <rFont val="Arial Narrow"/>
        <family val="2"/>
      </rPr>
      <t xml:space="preserve">3,500
</t>
    </r>
    <r>
      <rPr>
        <sz val="9"/>
        <color indexed="8"/>
        <rFont val="Arial Narrow"/>
        <family val="2"/>
      </rPr>
      <t xml:space="preserve">4,200
</t>
    </r>
    <r>
      <rPr>
        <sz val="9"/>
        <color indexed="8"/>
        <rFont val="Arial Narrow"/>
        <family val="2"/>
      </rPr>
      <t xml:space="preserve">4,060
</t>
    </r>
    <r>
      <rPr>
        <sz val="9"/>
        <color indexed="8"/>
        <rFont val="Arial Narrow"/>
        <family val="2"/>
      </rPr>
      <t xml:space="preserve">2,385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960
</t>
    </r>
    <r>
      <rPr>
        <sz val="9"/>
        <color indexed="8"/>
        <rFont val="Arial Narrow"/>
        <family val="2"/>
      </rPr>
      <t xml:space="preserve">20,305
</t>
    </r>
    <r>
      <rPr>
        <sz val="9"/>
        <color indexed="8"/>
        <rFont val="Arial Narrow"/>
        <family val="2"/>
      </rPr>
      <t xml:space="preserve">21,265
</t>
    </r>
    <r>
      <rPr>
        <sz val="9"/>
        <color indexed="8"/>
        <rFont val="Arial Narrow"/>
        <family val="2"/>
      </rPr>
      <t xml:space="preserve">1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21,265</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</si>
  <si>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sf sf
</t>
    </r>
    <r>
      <rPr>
        <sz val="9"/>
        <color indexed="8"/>
        <rFont val="Arial Narrow"/>
        <family val="2"/>
      </rPr>
      <t xml:space="preserve">sf sf sf sf sf
</t>
    </r>
    <r>
      <rPr>
        <sz val="9"/>
        <color indexed="8"/>
        <rFont val="Arial Narrow"/>
        <family val="2"/>
      </rPr>
      <t xml:space="preserve">sf sf
</t>
    </r>
    <r>
      <rPr>
        <sz val="9"/>
        <color indexed="8"/>
        <rFont val="Arial Narrow"/>
        <family val="2"/>
      </rPr>
      <t xml:space="preserve">sf sf sf sf sf
</t>
    </r>
    <r>
      <rPr>
        <sz val="9"/>
        <color indexed="8"/>
        <rFont val="Arial Narrow"/>
        <family val="2"/>
      </rPr>
      <t xml:space="preserve">sf ls sf sf 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</si>
  <si>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45.22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714.00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38.08
</t>
    </r>
    <r>
      <rPr>
        <sz val="9"/>
        <color indexed="8"/>
        <rFont val="Arial Narrow"/>
        <family val="2"/>
      </rPr>
      <t xml:space="preserve">$                      3.81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14.28</t>
    </r>
  </si>
  <si>
    <r>
      <rPr>
        <sz val="9"/>
        <color indexed="8"/>
        <rFont val="Arial Narrow"/>
        <family val="2"/>
      </rPr>
      <t xml:space="preserve">$                   39,984
</t>
    </r>
    <r>
      <rPr>
        <sz val="9"/>
        <color indexed="8"/>
        <rFont val="Arial Narrow"/>
        <family val="2"/>
      </rPr>
      <t xml:space="preserve">$                   35,000
</t>
    </r>
    <r>
      <rPr>
        <sz val="9"/>
        <color indexed="8"/>
        <rFont val="Arial Narrow"/>
        <family val="2"/>
      </rPr>
      <t xml:space="preserve">$                 193,304
</t>
    </r>
    <r>
      <rPr>
        <sz val="9"/>
        <color indexed="8"/>
        <rFont val="Arial Narrow"/>
        <family val="2"/>
      </rPr>
      <t xml:space="preserve">$                 962,000
</t>
    </r>
    <r>
      <rPr>
        <sz val="9"/>
        <color indexed="8"/>
        <rFont val="Arial Narrow"/>
        <family val="2"/>
      </rPr>
      <t xml:space="preserve">$                 151,832
</t>
    </r>
    <r>
      <rPr>
        <sz val="9"/>
        <color indexed="8"/>
        <rFont val="Arial Narrow"/>
        <family val="2"/>
      </rPr>
      <t xml:space="preserve">$                 456,000
</t>
    </r>
    <r>
      <rPr>
        <sz val="9"/>
        <color indexed="8"/>
        <rFont val="Arial Narrow"/>
        <family val="2"/>
      </rPr>
      <t xml:space="preserve">$                   40,000
</t>
    </r>
    <r>
      <rPr>
        <sz val="9"/>
        <color indexed="8"/>
        <rFont val="Arial Narrow"/>
        <family val="2"/>
      </rPr>
      <t xml:space="preserve">$                   11,424
</t>
    </r>
    <r>
      <rPr>
        <sz val="9"/>
        <color indexed="8"/>
        <rFont val="Arial Narrow"/>
        <family val="2"/>
      </rPr>
      <t xml:space="preserve">$                   11,424
</t>
    </r>
    <r>
      <rPr>
        <sz val="9"/>
        <color indexed="8"/>
        <rFont val="Arial Narrow"/>
        <family val="2"/>
      </rPr>
      <t xml:space="preserve">$                 583,100
</t>
    </r>
    <r>
      <rPr>
        <sz val="9"/>
        <color indexed="8"/>
        <rFont val="Arial Narrow"/>
        <family val="2"/>
      </rPr>
      <t xml:space="preserve">$                 341,530
</t>
    </r>
    <r>
      <rPr>
        <sz val="9"/>
        <color indexed="8"/>
        <rFont val="Arial Narrow"/>
        <family val="2"/>
      </rPr>
      <t xml:space="preserve">$                 362,355
</t>
    </r>
    <r>
      <rPr>
        <sz val="9"/>
        <color indexed="8"/>
        <rFont val="Arial Narrow"/>
        <family val="2"/>
      </rPr>
      <t xml:space="preserve">$                 145,775
</t>
    </r>
    <r>
      <rPr>
        <sz val="9"/>
        <color indexed="8"/>
        <rFont val="Arial Narrow"/>
        <family val="2"/>
      </rPr>
      <t xml:space="preserve">$                 174,930
</t>
    </r>
    <r>
      <rPr>
        <sz val="9"/>
        <color indexed="8"/>
        <rFont val="Arial Narrow"/>
        <family val="2"/>
      </rPr>
      <t xml:space="preserve">$                 966,280
</t>
    </r>
    <r>
      <rPr>
        <sz val="9"/>
        <color indexed="8"/>
        <rFont val="Arial Narrow"/>
        <family val="2"/>
      </rPr>
      <t xml:space="preserve">$              1,702,890
</t>
    </r>
    <r>
      <rPr>
        <sz val="9"/>
        <color indexed="8"/>
        <rFont val="Arial Narrow"/>
        <family val="2"/>
      </rPr>
      <t xml:space="preserve">$                 379,580
</t>
    </r>
    <r>
      <rPr>
        <sz val="9"/>
        <color indexed="8"/>
        <rFont val="Arial Narrow"/>
        <family val="2"/>
      </rPr>
      <t xml:space="preserve">$                 455,496
</t>
    </r>
    <r>
      <rPr>
        <sz val="9"/>
        <color indexed="8"/>
        <rFont val="Arial Narrow"/>
        <family val="2"/>
      </rPr>
      <t xml:space="preserve">$                 202,443
</t>
    </r>
    <r>
      <rPr>
        <sz val="9"/>
        <color indexed="8"/>
        <rFont val="Arial Narrow"/>
        <family val="2"/>
      </rPr>
      <t xml:space="preserve">$                   36,557
</t>
    </r>
    <r>
      <rPr>
        <sz val="9"/>
        <color indexed="8"/>
        <rFont val="Arial Narrow"/>
        <family val="2"/>
      </rPr>
      <t xml:space="preserve">$                   77,321
</t>
    </r>
    <r>
      <rPr>
        <sz val="9"/>
        <color indexed="8"/>
        <rFont val="Arial Narrow"/>
        <family val="2"/>
      </rPr>
      <t xml:space="preserve">$                 253,054
</t>
    </r>
    <r>
      <rPr>
        <sz val="9"/>
        <color indexed="8"/>
        <rFont val="Arial Narrow"/>
        <family val="2"/>
      </rPr>
      <t xml:space="preserve">$                   35,700
</t>
    </r>
    <r>
      <rPr>
        <sz val="9"/>
        <color indexed="8"/>
        <rFont val="Arial Narrow"/>
        <family val="2"/>
      </rPr>
      <t xml:space="preserve">$                 151,832
</t>
    </r>
    <r>
      <rPr>
        <sz val="9"/>
        <color indexed="8"/>
        <rFont val="Arial Narrow"/>
        <family val="2"/>
      </rPr>
      <t xml:space="preserve">$                   75,916
</t>
    </r>
    <r>
      <rPr>
        <sz val="9"/>
        <color indexed="8"/>
        <rFont val="Arial Narrow"/>
        <family val="2"/>
      </rPr>
      <t xml:space="preserve">$                 177,137
</t>
    </r>
    <r>
      <rPr>
        <sz val="9"/>
        <color indexed="8"/>
        <rFont val="Arial Narrow"/>
        <family val="2"/>
      </rPr>
      <t>$                 303,664</t>
    </r>
  </si>
  <si>
    <r>
      <rPr>
        <sz val="9"/>
        <color indexed="8"/>
        <rFont val="Arial Narrow"/>
        <family val="2"/>
      </rPr>
      <t>OT</t>
    </r>
  </si>
  <si>
    <r>
      <rPr>
        <sz val="9"/>
        <color indexed="8"/>
        <rFont val="Arial Narrow"/>
        <family val="2"/>
      </rPr>
      <t>Bldg B1, B2, C1 and C2</t>
    </r>
  </si>
  <si>
    <r>
      <rPr>
        <sz val="9"/>
        <color indexed="8"/>
        <rFont val="Arial Narrow"/>
        <family val="2"/>
      </rPr>
      <t>Bldg F1</t>
    </r>
  </si>
  <si>
    <r>
      <rPr>
        <sz val="9"/>
        <color indexed="8"/>
        <rFont val="Arial Narrow"/>
        <family val="2"/>
      </rPr>
      <t>Bldg H2</t>
    </r>
  </si>
  <si>
    <r>
      <rPr>
        <sz val="9"/>
        <color indexed="8"/>
        <rFont val="Arial Narrow"/>
        <family val="2"/>
      </rPr>
      <t>Based on entire campus area, upgrade existing utilities;</t>
    </r>
  </si>
  <si>
    <r>
      <rPr>
        <sz val="9"/>
        <color indexed="8"/>
        <rFont val="Arial Narrow"/>
        <family val="2"/>
      </rPr>
      <t>Natural gas service</t>
    </r>
  </si>
  <si>
    <r>
      <rPr>
        <sz val="9"/>
        <color indexed="8"/>
        <rFont val="Arial Narrow"/>
        <family val="2"/>
      </rPr>
      <t>Sanitary sewer service</t>
    </r>
  </si>
  <si>
    <r>
      <rPr>
        <sz val="9"/>
        <color indexed="8"/>
        <rFont val="Arial Narrow"/>
        <family val="2"/>
      </rPr>
      <t>Domestic and fire water service</t>
    </r>
  </si>
  <si>
    <r>
      <rPr>
        <sz val="9"/>
        <color indexed="8"/>
        <rFont val="Arial Narrow"/>
        <family val="2"/>
      </rPr>
      <t>Electrical mains and distribution</t>
    </r>
  </si>
  <si>
    <r>
      <rPr>
        <sz val="9"/>
        <color indexed="8"/>
        <rFont val="Arial Narrow"/>
        <family val="2"/>
      </rPr>
      <t>Storm drain service</t>
    </r>
  </si>
  <si>
    <r>
      <rPr>
        <sz val="9"/>
        <color indexed="8"/>
        <rFont val="Arial Narrow"/>
        <family val="2"/>
      </rPr>
      <t>Electrical capacity upgrades</t>
    </r>
  </si>
  <si>
    <r>
      <rPr>
        <sz val="9"/>
        <color indexed="8"/>
        <rFont val="Arial Narrow"/>
        <family val="2"/>
      </rPr>
      <t>Middle school</t>
    </r>
  </si>
  <si>
    <r>
      <rPr>
        <sz val="9"/>
        <color indexed="8"/>
        <rFont val="Arial Narrow"/>
        <family val="2"/>
      </rPr>
      <t xml:space="preserve">Middle School Science and Art Labs Minor modernization
</t>
    </r>
    <r>
      <rPr>
        <sz val="9"/>
        <color indexed="8"/>
        <rFont val="Arial Narrow"/>
        <family val="2"/>
      </rPr>
      <t xml:space="preserve">Reconfigure
</t>
    </r>
    <r>
      <rPr>
        <sz val="9"/>
        <color indexed="8"/>
        <rFont val="Arial Narrow"/>
        <family val="2"/>
      </rPr>
      <t xml:space="preserve">Lab classrooms, one story building
</t>
    </r>
    <r>
      <rPr>
        <sz val="9"/>
        <color indexed="8"/>
        <rFont val="Arial Narrow"/>
        <family val="2"/>
      </rPr>
      <t xml:space="preserve">Site improvements surrounding building pad Music Lab classroom
</t>
    </r>
    <r>
      <rPr>
        <sz val="9"/>
        <color indexed="8"/>
        <rFont val="Arial Narrow"/>
        <family val="2"/>
      </rPr>
      <t xml:space="preserve">Minor modernization
</t>
    </r>
    <r>
      <rPr>
        <sz val="9"/>
        <color indexed="8"/>
        <rFont val="Arial Narrow"/>
        <family val="2"/>
      </rPr>
      <t xml:space="preserve">Lab classrooms, one story building
</t>
    </r>
    <r>
      <rPr>
        <sz val="9"/>
        <color indexed="8"/>
        <rFont val="Arial Narrow"/>
        <family val="2"/>
      </rPr>
      <t xml:space="preserve">Site improvements surrounding building pad Auditorium
</t>
    </r>
    <r>
      <rPr>
        <sz val="9"/>
        <color indexed="8"/>
        <rFont val="Arial Narrow"/>
        <family val="2"/>
      </rPr>
      <t xml:space="preserve">Moderate modernization
</t>
    </r>
    <r>
      <rPr>
        <sz val="9"/>
        <color indexed="8"/>
        <rFont val="Arial Narrow"/>
        <family val="2"/>
      </rPr>
      <t>Seismic retrofit</t>
    </r>
  </si>
  <si>
    <r>
      <rPr>
        <sz val="9"/>
        <color indexed="8"/>
        <rFont val="Arial Narrow"/>
        <family val="2"/>
      </rPr>
      <t>AB300</t>
    </r>
  </si>
  <si>
    <r>
      <rPr>
        <sz val="9"/>
        <color indexed="8"/>
        <rFont val="Arial Narrow"/>
        <family val="2"/>
      </rPr>
      <t xml:space="preserve">Multipurpose Rooms Moderate modernization
</t>
    </r>
    <r>
      <rPr>
        <sz val="9"/>
        <color indexed="8"/>
        <rFont val="Arial Narrow"/>
        <family val="2"/>
      </rPr>
      <t xml:space="preserve">Food Service
</t>
    </r>
    <r>
      <rPr>
        <sz val="9"/>
        <color indexed="8"/>
        <rFont val="Arial Narrow"/>
        <family val="2"/>
      </rPr>
      <t xml:space="preserve">Moderate modernization Seismic retrofit
</t>
    </r>
    <r>
      <rPr>
        <sz val="9"/>
        <color indexed="8"/>
        <rFont val="Arial Narrow"/>
        <family val="2"/>
      </rPr>
      <t xml:space="preserve">Food service, one story building
</t>
    </r>
    <r>
      <rPr>
        <sz val="9"/>
        <color indexed="8"/>
        <rFont val="Arial Narrow"/>
        <family val="2"/>
      </rPr>
      <t>Site improvements surrounding building pad New lunch shelter</t>
    </r>
  </si>
  <si>
    <r>
      <rPr>
        <sz val="9"/>
        <color indexed="8"/>
        <rFont val="Arial Narrow"/>
        <family val="2"/>
      </rPr>
      <t>Middle School and High School Library and Innovation Lab</t>
    </r>
  </si>
  <si>
    <r>
      <rPr>
        <sz val="9"/>
        <color indexed="8"/>
        <rFont val="Arial Narrow"/>
        <family val="2"/>
      </rPr>
      <t>Lab classrooms, one story building</t>
    </r>
  </si>
  <si>
    <r>
      <rPr>
        <sz val="9"/>
        <color indexed="8"/>
        <rFont val="Arial Narrow"/>
        <family val="2"/>
      </rPr>
      <t xml:space="preserve">Minor modernization Reconfigure
</t>
    </r>
    <r>
      <rPr>
        <sz val="9"/>
        <color indexed="8"/>
        <rFont val="Arial Narrow"/>
        <family val="2"/>
      </rPr>
      <t xml:space="preserve">Wellness Center
</t>
    </r>
    <r>
      <rPr>
        <sz val="9"/>
        <color indexed="8"/>
        <rFont val="Arial Narrow"/>
        <family val="2"/>
      </rPr>
      <t>Minor modernization</t>
    </r>
  </si>
  <si>
    <r>
      <rPr>
        <sz val="9"/>
        <color indexed="8"/>
        <rFont val="Arial Narrow"/>
        <family val="2"/>
      </rPr>
      <t xml:space="preserve">340
</t>
    </r>
    <r>
      <rPr>
        <sz val="9"/>
        <color indexed="8"/>
        <rFont val="Arial Narrow"/>
        <family val="2"/>
      </rPr>
      <t xml:space="preserve">970
</t>
    </r>
    <r>
      <rPr>
        <sz val="9"/>
        <color indexed="8"/>
        <rFont val="Arial Narrow"/>
        <family val="2"/>
      </rPr>
      <t>860</t>
    </r>
  </si>
  <si>
    <r>
      <rPr>
        <sz val="9"/>
        <color indexed="8"/>
        <rFont val="Arial Narrow"/>
        <family val="2"/>
      </rPr>
      <t xml:space="preserve">sf sf
</t>
    </r>
    <r>
      <rPr>
        <sz val="9"/>
        <color indexed="8"/>
        <rFont val="Arial Narrow"/>
        <family val="2"/>
      </rPr>
      <t>sf</t>
    </r>
  </si>
  <si>
    <r>
      <rPr>
        <sz val="9"/>
        <color indexed="8"/>
        <rFont val="Arial Narrow"/>
        <family val="2"/>
      </rPr>
      <t xml:space="preserve">$                  178.50
</t>
    </r>
    <r>
      <rPr>
        <sz val="9"/>
        <color indexed="8"/>
        <rFont val="Arial Narrow"/>
        <family val="2"/>
      </rPr>
      <t xml:space="preserve">$                  416.50
</t>
    </r>
    <r>
      <rPr>
        <sz val="9"/>
        <color indexed="8"/>
        <rFont val="Arial Narrow"/>
        <family val="2"/>
      </rPr>
      <t>$                  178.50</t>
    </r>
  </si>
  <si>
    <r>
      <rPr>
        <sz val="9"/>
        <color indexed="8"/>
        <rFont val="Arial Narrow"/>
        <family val="2"/>
      </rPr>
      <t xml:space="preserve">$                   60,690
</t>
    </r>
    <r>
      <rPr>
        <sz val="9"/>
        <color indexed="8"/>
        <rFont val="Arial Narrow"/>
        <family val="2"/>
      </rPr>
      <t xml:space="preserve">$                 404,005
</t>
    </r>
    <r>
      <rPr>
        <sz val="9"/>
        <color indexed="8"/>
        <rFont val="Arial Narrow"/>
        <family val="2"/>
      </rPr>
      <t>$                 153,510</t>
    </r>
  </si>
  <si>
    <r>
      <rPr>
        <sz val="9"/>
        <color indexed="8"/>
        <rFont val="Arial Narrow"/>
        <family val="2"/>
      </rPr>
      <t xml:space="preserve">Administration
</t>
    </r>
    <r>
      <rPr>
        <sz val="9"/>
        <color indexed="8"/>
        <rFont val="Arial Narrow"/>
        <family val="2"/>
      </rPr>
      <t xml:space="preserve">Minor modernization Staff work rooms
</t>
    </r>
    <r>
      <rPr>
        <sz val="9"/>
        <color indexed="8"/>
        <rFont val="Arial Narrow"/>
        <family val="2"/>
      </rPr>
      <t>Reconfigure</t>
    </r>
  </si>
  <si>
    <r>
      <rPr>
        <sz val="9"/>
        <color indexed="8"/>
        <rFont val="Arial Narrow"/>
        <family val="2"/>
      </rPr>
      <t xml:space="preserve">3,680
</t>
    </r>
    <r>
      <rPr>
        <sz val="9"/>
        <color indexed="8"/>
        <rFont val="Arial Narrow"/>
        <family val="2"/>
      </rPr>
      <t>810</t>
    </r>
  </si>
  <si>
    <r>
      <rPr>
        <sz val="9"/>
        <color indexed="8"/>
        <rFont val="Arial Narrow"/>
        <family val="2"/>
      </rPr>
      <t xml:space="preserve">$                 656,880
</t>
    </r>
    <r>
      <rPr>
        <sz val="9"/>
        <color indexed="8"/>
        <rFont val="Arial Narrow"/>
        <family val="2"/>
      </rPr>
      <t>$                 361,463</t>
    </r>
  </si>
  <si>
    <r>
      <rPr>
        <sz val="9"/>
        <color indexed="8"/>
        <rFont val="Arial Narrow"/>
        <family val="2"/>
      </rPr>
      <t>Solar in parking</t>
    </r>
  </si>
  <si>
    <r>
      <rPr>
        <sz val="9"/>
        <color indexed="8"/>
        <rFont val="Arial Narrow"/>
        <family val="2"/>
      </rPr>
      <t>enhancements</t>
    </r>
  </si>
  <si>
    <r>
      <rPr>
        <sz val="9"/>
        <color indexed="8"/>
        <rFont val="Arial Narrow"/>
        <family val="2"/>
      </rPr>
      <t>New student amphitheater</t>
    </r>
  </si>
  <si>
    <r>
      <rPr>
        <sz val="9"/>
        <color indexed="8"/>
        <rFont val="Arial Narrow"/>
        <family val="2"/>
      </rPr>
      <t>Middle School Play Yard</t>
    </r>
  </si>
  <si>
    <r>
      <rPr>
        <sz val="9"/>
        <color indexed="8"/>
        <rFont val="Arial Narrow"/>
        <family val="2"/>
      </rPr>
      <t>Flexible furniture per MPR / cafeteria (direct cost)</t>
    </r>
  </si>
  <si>
    <r>
      <rPr>
        <b/>
        <sz val="12"/>
        <color indexed="12"/>
        <rFont val="Arial Narrow"/>
        <family val="2"/>
      </rPr>
      <t>San Marino HS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</si>
  <si>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 xml:space="preserve">Upgrade backbone, wireless access points, and switches (direct cost)
</t>
    </r>
    <r>
      <rPr>
        <sz val="9"/>
        <color indexed="8"/>
        <rFont val="Arial Narrow"/>
        <family val="2"/>
      </rPr>
      <t>Upgrade fiber to support (direct cost)</t>
    </r>
  </si>
  <si>
    <r>
      <rPr>
        <sz val="9"/>
        <color indexed="8"/>
        <rFont val="Arial Narrow"/>
        <family val="2"/>
      </rPr>
      <t xml:space="preserve">1,320
</t>
    </r>
    <r>
      <rPr>
        <sz val="9"/>
        <color indexed="8"/>
        <rFont val="Arial Narrow"/>
        <family val="2"/>
      </rPr>
      <t xml:space="preserve">1,320
</t>
    </r>
    <r>
      <rPr>
        <sz val="9"/>
        <color indexed="8"/>
        <rFont val="Arial Narrow"/>
        <family val="2"/>
      </rPr>
      <t xml:space="preserve">59,475
</t>
    </r>
    <r>
      <rPr>
        <sz val="9"/>
        <color indexed="8"/>
        <rFont val="Arial Narrow"/>
        <family val="2"/>
      </rPr>
      <t xml:space="preserve">7,140
</t>
    </r>
    <r>
      <rPr>
        <sz val="9"/>
        <color indexed="8"/>
        <rFont val="Arial Narrow"/>
        <family val="2"/>
      </rPr>
      <t xml:space="preserve">7,140
</t>
    </r>
    <r>
      <rPr>
        <sz val="9"/>
        <color indexed="8"/>
        <rFont val="Arial Narrow"/>
        <family val="2"/>
      </rPr>
      <t xml:space="preserve">7,140
</t>
    </r>
    <r>
      <rPr>
        <sz val="9"/>
        <color indexed="8"/>
        <rFont val="Arial Narrow"/>
        <family val="2"/>
      </rPr>
      <t xml:space="preserve">150,194
</t>
    </r>
    <r>
      <rPr>
        <sz val="9"/>
        <color indexed="8"/>
        <rFont val="Arial Narrow"/>
        <family val="2"/>
      </rPr>
      <t xml:space="preserve">34,650
</t>
    </r>
    <r>
      <rPr>
        <sz val="9"/>
        <color indexed="8"/>
        <rFont val="Arial Narrow"/>
        <family val="2"/>
      </rPr>
      <t xml:space="preserve">30,000
</t>
    </r>
    <r>
      <rPr>
        <sz val="9"/>
        <color indexed="8"/>
        <rFont val="Arial Narrow"/>
        <family val="2"/>
      </rPr>
      <t xml:space="preserve">13,000
</t>
    </r>
    <r>
      <rPr>
        <sz val="9"/>
        <color indexed="8"/>
        <rFont val="Arial Narrow"/>
        <family val="2"/>
      </rPr>
      <t xml:space="preserve">5,950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1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59,475</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</si>
  <si>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t>
    </r>
    <r>
      <rPr>
        <sz val="9"/>
        <color indexed="8"/>
        <rFont val="Arial Narrow"/>
        <family val="2"/>
      </rPr>
      <t xml:space="preserve">sf sf sf
</t>
    </r>
    <r>
      <rPr>
        <sz val="9"/>
        <color indexed="8"/>
        <rFont val="Arial Narrow"/>
        <family val="2"/>
      </rPr>
      <t xml:space="preserve">sf
</t>
    </r>
    <r>
      <rPr>
        <sz val="9"/>
        <color indexed="8"/>
        <rFont val="Arial Narrow"/>
        <family val="2"/>
      </rPr>
      <t xml:space="preserve">sf sf sf sf
</t>
    </r>
    <r>
      <rPr>
        <sz val="9"/>
        <color indexed="8"/>
        <rFont val="Arial Narrow"/>
        <family val="2"/>
      </rPr>
      <t xml:space="preserve">sf ls sf sf sf
</t>
    </r>
    <r>
      <rPr>
        <sz val="9"/>
        <color indexed="8"/>
        <rFont val="Arial Narrow"/>
        <family val="2"/>
      </rPr>
      <t xml:space="preserve">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</si>
  <si>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23.80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xml:space="preserve">$                    14.28
</t>
    </r>
    <r>
      <rPr>
        <sz val="9"/>
        <color indexed="8"/>
        <rFont val="Arial Narrow"/>
        <family val="2"/>
      </rPr>
      <t>$                    14.28</t>
    </r>
  </si>
  <si>
    <r>
      <rPr>
        <sz val="9"/>
        <color indexed="8"/>
        <rFont val="Arial Narrow"/>
        <family val="2"/>
      </rPr>
      <t xml:space="preserve">$                   54,978
</t>
    </r>
    <r>
      <rPr>
        <sz val="9"/>
        <color indexed="8"/>
        <rFont val="Arial Narrow"/>
        <family val="2"/>
      </rPr>
      <t xml:space="preserve">$                   48,000
</t>
    </r>
    <r>
      <rPr>
        <sz val="9"/>
        <color indexed="8"/>
        <rFont val="Arial Narrow"/>
        <family val="2"/>
      </rPr>
      <t xml:space="preserve">$                 566,202
</t>
    </r>
    <r>
      <rPr>
        <sz val="9"/>
        <color indexed="8"/>
        <rFont val="Arial Narrow"/>
        <family val="2"/>
      </rPr>
      <t xml:space="preserve">$                 153,000
</t>
    </r>
    <r>
      <rPr>
        <sz val="9"/>
        <color indexed="8"/>
        <rFont val="Arial Narrow"/>
        <family val="2"/>
      </rPr>
      <t xml:space="preserve">$                 298,000
</t>
    </r>
    <r>
      <rPr>
        <sz val="9"/>
        <color indexed="8"/>
        <rFont val="Arial Narrow"/>
        <family val="2"/>
      </rPr>
      <t xml:space="preserve">$                   84,966
</t>
    </r>
    <r>
      <rPr>
        <sz val="9"/>
        <color indexed="8"/>
        <rFont val="Arial Narrow"/>
        <family val="2"/>
      </rPr>
      <t xml:space="preserve">$              1,787,309
</t>
    </r>
    <r>
      <rPr>
        <sz val="9"/>
        <color indexed="8"/>
        <rFont val="Arial Narrow"/>
        <family val="2"/>
      </rPr>
      <t xml:space="preserve">$              1,443,173
</t>
    </r>
    <r>
      <rPr>
        <sz val="9"/>
        <color indexed="8"/>
        <rFont val="Arial Narrow"/>
        <family val="2"/>
      </rPr>
      <t xml:space="preserve">$              1,249,500
</t>
    </r>
    <r>
      <rPr>
        <sz val="9"/>
        <color indexed="8"/>
        <rFont val="Arial Narrow"/>
        <family val="2"/>
      </rPr>
      <t xml:space="preserve">$                 541,450
</t>
    </r>
    <r>
      <rPr>
        <sz val="9"/>
        <color indexed="8"/>
        <rFont val="Arial Narrow"/>
        <family val="2"/>
      </rPr>
      <t xml:space="preserve">$              1,416,100
</t>
    </r>
    <r>
      <rPr>
        <sz val="9"/>
        <color indexed="8"/>
        <rFont val="Arial Narrow"/>
        <family val="2"/>
      </rPr>
      <t xml:space="preserve">$              1,415,505
</t>
    </r>
    <r>
      <rPr>
        <sz val="9"/>
        <color indexed="8"/>
        <rFont val="Arial Narrow"/>
        <family val="2"/>
      </rPr>
      <t xml:space="preserve">$              1,273,955
</t>
    </r>
    <r>
      <rPr>
        <sz val="9"/>
        <color indexed="8"/>
        <rFont val="Arial Narrow"/>
        <family val="2"/>
      </rPr>
      <t xml:space="preserve">$                 566,202
</t>
    </r>
    <r>
      <rPr>
        <sz val="9"/>
        <color indexed="8"/>
        <rFont val="Arial Narrow"/>
        <family val="2"/>
      </rPr>
      <t xml:space="preserve">$                 226,481
</t>
    </r>
    <r>
      <rPr>
        <sz val="9"/>
        <color indexed="8"/>
        <rFont val="Arial Narrow"/>
        <family val="2"/>
      </rPr>
      <t xml:space="preserve">$                 707,753
</t>
    </r>
    <r>
      <rPr>
        <sz val="9"/>
        <color indexed="8"/>
        <rFont val="Arial Narrow"/>
        <family val="2"/>
      </rPr>
      <t xml:space="preserve">$                   35,700
</t>
    </r>
    <r>
      <rPr>
        <sz val="9"/>
        <color indexed="8"/>
        <rFont val="Arial Narrow"/>
        <family val="2"/>
      </rPr>
      <t xml:space="preserve">$                 424,652
</t>
    </r>
    <r>
      <rPr>
        <sz val="9"/>
        <color indexed="8"/>
        <rFont val="Arial Narrow"/>
        <family val="2"/>
      </rPr>
      <t xml:space="preserve">$                 212,326
</t>
    </r>
    <r>
      <rPr>
        <sz val="9"/>
        <color indexed="8"/>
        <rFont val="Arial Narrow"/>
        <family val="2"/>
      </rPr>
      <t xml:space="preserve">$                 495,427
</t>
    </r>
    <r>
      <rPr>
        <sz val="9"/>
        <color indexed="8"/>
        <rFont val="Arial Narrow"/>
        <family val="2"/>
      </rPr>
      <t xml:space="preserve">$                 849,303
</t>
    </r>
    <r>
      <rPr>
        <sz val="9"/>
        <color indexed="8"/>
        <rFont val="Arial Narrow"/>
        <family val="2"/>
      </rPr>
      <t>$                 849,303</t>
    </r>
  </si>
  <si>
    <r>
      <rPr>
        <sz val="9"/>
        <color indexed="8"/>
        <rFont val="Arial Narrow"/>
        <family val="2"/>
      </rPr>
      <t>Bldg. V, F and P</t>
    </r>
  </si>
  <si>
    <r>
      <rPr>
        <sz val="9"/>
        <color indexed="8"/>
        <rFont val="Arial Narrow"/>
        <family val="2"/>
      </rPr>
      <t>Bldg. S</t>
    </r>
  </si>
  <si>
    <r>
      <rPr>
        <sz val="9"/>
        <color indexed="8"/>
        <rFont val="Arial Narrow"/>
        <family val="2"/>
      </rPr>
      <t>Bldg. I</t>
    </r>
  </si>
  <si>
    <r>
      <rPr>
        <sz val="9"/>
        <color indexed="8"/>
        <rFont val="Arial Narrow"/>
        <family val="2"/>
      </rPr>
      <t xml:space="preserve">Based on entire campus area, upgrade existing utilities; Natural gas service
</t>
    </r>
    <r>
      <rPr>
        <sz val="9"/>
        <color indexed="8"/>
        <rFont val="Arial Narrow"/>
        <family val="2"/>
      </rPr>
      <t xml:space="preserve">Sanitary sewer service
</t>
    </r>
    <r>
      <rPr>
        <sz val="9"/>
        <color indexed="8"/>
        <rFont val="Arial Narrow"/>
        <family val="2"/>
      </rPr>
      <t>Domestic and fire water service Electrical mains and distribution</t>
    </r>
  </si>
  <si>
    <r>
      <rPr>
        <sz val="9"/>
        <color indexed="8"/>
        <rFont val="Arial Narrow"/>
        <family val="2"/>
      </rPr>
      <t xml:space="preserve">1,080,288
</t>
    </r>
    <r>
      <rPr>
        <sz val="9"/>
        <color indexed="8"/>
        <rFont val="Arial Narrow"/>
        <family val="2"/>
      </rPr>
      <t xml:space="preserve">1,080,288
</t>
    </r>
    <r>
      <rPr>
        <sz val="9"/>
        <color indexed="8"/>
        <rFont val="Arial Narrow"/>
        <family val="2"/>
      </rPr>
      <t xml:space="preserve">1,080,288
</t>
    </r>
    <r>
      <rPr>
        <sz val="9"/>
        <color indexed="8"/>
        <rFont val="Arial Narrow"/>
        <family val="2"/>
      </rPr>
      <t>1,080,288</t>
    </r>
  </si>
  <si>
    <r>
      <rPr>
        <sz val="9"/>
        <color indexed="8"/>
        <rFont val="Arial Narrow"/>
        <family val="2"/>
      </rPr>
      <t>sf sf sf sf</t>
    </r>
  </si>
  <si>
    <r>
      <rPr>
        <sz val="9"/>
        <color indexed="8"/>
        <rFont val="Arial Narrow"/>
        <family val="2"/>
      </rPr>
      <t xml:space="preserve">$                      0.12
</t>
    </r>
    <r>
      <rPr>
        <sz val="9"/>
        <color indexed="8"/>
        <rFont val="Arial Narrow"/>
        <family val="2"/>
      </rPr>
      <t xml:space="preserve">$                      0.29
</t>
    </r>
    <r>
      <rPr>
        <sz val="9"/>
        <color indexed="8"/>
        <rFont val="Arial Narrow"/>
        <family val="2"/>
      </rPr>
      <t xml:space="preserve">$                      0.36
</t>
    </r>
    <r>
      <rPr>
        <sz val="9"/>
        <color indexed="8"/>
        <rFont val="Arial Narrow"/>
        <family val="2"/>
      </rPr>
      <t>$                      0.60</t>
    </r>
  </si>
  <si>
    <r>
      <rPr>
        <sz val="9"/>
        <color indexed="8"/>
        <rFont val="Arial Narrow"/>
        <family val="2"/>
      </rPr>
      <t xml:space="preserve">$                 129,000
</t>
    </r>
    <r>
      <rPr>
        <sz val="9"/>
        <color indexed="8"/>
        <rFont val="Arial Narrow"/>
        <family val="2"/>
      </rPr>
      <t xml:space="preserve">$                 309,000
</t>
    </r>
    <r>
      <rPr>
        <sz val="9"/>
        <color indexed="8"/>
        <rFont val="Arial Narrow"/>
        <family val="2"/>
      </rPr>
      <t xml:space="preserve">$                 386,000
</t>
    </r>
    <r>
      <rPr>
        <sz val="9"/>
        <color indexed="8"/>
        <rFont val="Arial Narrow"/>
        <family val="2"/>
      </rPr>
      <t>$                 646,000</t>
    </r>
  </si>
  <si>
    <r>
      <rPr>
        <sz val="9"/>
        <color indexed="8"/>
        <rFont val="Arial Narrow"/>
        <family val="2"/>
      </rPr>
      <t xml:space="preserve">Storm drain service
</t>
    </r>
    <r>
      <rPr>
        <sz val="9"/>
        <color indexed="8"/>
        <rFont val="Arial Narrow"/>
        <family val="2"/>
      </rPr>
      <t>Electrical capacity upgrades</t>
    </r>
  </si>
  <si>
    <r>
      <rPr>
        <sz val="9"/>
        <color indexed="8"/>
        <rFont val="Arial Narrow"/>
        <family val="2"/>
      </rPr>
      <t xml:space="preserve">1,080,288
</t>
    </r>
    <r>
      <rPr>
        <sz val="9"/>
        <color indexed="8"/>
        <rFont val="Arial Narrow"/>
        <family val="2"/>
      </rPr>
      <t>1</t>
    </r>
  </si>
  <si>
    <r>
      <rPr>
        <sz val="9"/>
        <color indexed="8"/>
        <rFont val="Arial Narrow"/>
        <family val="2"/>
      </rPr>
      <t xml:space="preserve">sf
</t>
    </r>
    <r>
      <rPr>
        <sz val="9"/>
        <color indexed="8"/>
        <rFont val="Arial Narrow"/>
        <family val="2"/>
      </rPr>
      <t>ls</t>
    </r>
  </si>
  <si>
    <r>
      <rPr>
        <sz val="9"/>
        <color indexed="8"/>
        <rFont val="Arial Narrow"/>
        <family val="2"/>
      </rPr>
      <t xml:space="preserve">$                      0.36
</t>
    </r>
    <r>
      <rPr>
        <sz val="9"/>
        <color indexed="8"/>
        <rFont val="Arial Narrow"/>
        <family val="2"/>
      </rPr>
      <t>$           416,500.00</t>
    </r>
  </si>
  <si>
    <r>
      <rPr>
        <sz val="9"/>
        <color indexed="8"/>
        <rFont val="Arial Narrow"/>
        <family val="2"/>
      </rPr>
      <t xml:space="preserve">$                 386,000
</t>
    </r>
    <r>
      <rPr>
        <sz val="9"/>
        <color indexed="8"/>
        <rFont val="Arial Narrow"/>
        <family val="2"/>
      </rPr>
      <t>$                 417,000</t>
    </r>
  </si>
  <si>
    <r>
      <rPr>
        <sz val="9"/>
        <color indexed="8"/>
        <rFont val="Arial Narrow"/>
        <family val="2"/>
      </rPr>
      <t xml:space="preserve">High School Science and Art Labs Minor modernization
</t>
    </r>
    <r>
      <rPr>
        <sz val="9"/>
        <color indexed="8"/>
        <rFont val="Arial Narrow"/>
        <family val="2"/>
      </rPr>
      <t xml:space="preserve">Moderate modernization Seismic retrofit
</t>
    </r>
    <r>
      <rPr>
        <sz val="9"/>
        <color indexed="8"/>
        <rFont val="Arial Narrow"/>
        <family val="2"/>
      </rPr>
      <t xml:space="preserve">Reconfigure Seismic retrofit
</t>
    </r>
    <r>
      <rPr>
        <sz val="9"/>
        <color indexed="8"/>
        <rFont val="Arial Narrow"/>
        <family val="2"/>
      </rPr>
      <t xml:space="preserve">Dance and Drama Classrooms Moderate modernization
</t>
    </r>
    <r>
      <rPr>
        <sz val="9"/>
        <color indexed="8"/>
        <rFont val="Arial Narrow"/>
        <family val="2"/>
      </rPr>
      <t xml:space="preserve">Seismic retrofit Reconfigure
</t>
    </r>
    <r>
      <rPr>
        <sz val="9"/>
        <color indexed="8"/>
        <rFont val="Arial Narrow"/>
        <family val="2"/>
      </rPr>
      <t xml:space="preserve">Seismic retrofit
</t>
    </r>
    <r>
      <rPr>
        <sz val="9"/>
        <color indexed="8"/>
        <rFont val="Arial Narrow"/>
        <family val="2"/>
      </rPr>
      <t xml:space="preserve">Classrooms, one story building
</t>
    </r>
    <r>
      <rPr>
        <sz val="9"/>
        <color indexed="8"/>
        <rFont val="Arial Narrow"/>
        <family val="2"/>
      </rPr>
      <t xml:space="preserve">Site improvements surrounding building pad Music Lab classroom
</t>
    </r>
    <r>
      <rPr>
        <sz val="9"/>
        <color indexed="8"/>
        <rFont val="Arial Narrow"/>
        <family val="2"/>
      </rPr>
      <t xml:space="preserve">Moderate modernization Seismic retrofit
</t>
    </r>
    <r>
      <rPr>
        <sz val="9"/>
        <color indexed="8"/>
        <rFont val="Arial Narrow"/>
        <family val="2"/>
      </rPr>
      <t xml:space="preserve">Theatre
</t>
    </r>
    <r>
      <rPr>
        <sz val="9"/>
        <color indexed="8"/>
        <rFont val="Arial Narrow"/>
        <family val="2"/>
      </rPr>
      <t>Moderate modernization Seismic retrofit</t>
    </r>
  </si>
  <si>
    <r>
      <rPr>
        <sz val="9"/>
        <color indexed="8"/>
        <rFont val="Arial Narrow"/>
        <family val="2"/>
      </rPr>
      <t xml:space="preserve">14,200
</t>
    </r>
    <r>
      <rPr>
        <sz val="9"/>
        <color indexed="8"/>
        <rFont val="Arial Narrow"/>
        <family val="2"/>
      </rPr>
      <t xml:space="preserve">6,034
</t>
    </r>
    <r>
      <rPr>
        <sz val="9"/>
        <color indexed="8"/>
        <rFont val="Arial Narrow"/>
        <family val="2"/>
      </rPr>
      <t xml:space="preserve">6,034
</t>
    </r>
    <r>
      <rPr>
        <sz val="9"/>
        <color indexed="8"/>
        <rFont val="Arial Narrow"/>
        <family val="2"/>
      </rPr>
      <t xml:space="preserve">10,860
</t>
    </r>
    <r>
      <rPr>
        <sz val="9"/>
        <color indexed="8"/>
        <rFont val="Arial Narrow"/>
        <family val="2"/>
      </rPr>
      <t xml:space="preserve">10,860
</t>
    </r>
    <r>
      <rPr>
        <sz val="9"/>
        <color indexed="8"/>
        <rFont val="Arial Narrow"/>
        <family val="2"/>
      </rPr>
      <t xml:space="preserve">7,970
</t>
    </r>
    <r>
      <rPr>
        <sz val="9"/>
        <color indexed="8"/>
        <rFont val="Arial Narrow"/>
        <family val="2"/>
      </rPr>
      <t xml:space="preserve">7,970
</t>
    </r>
    <r>
      <rPr>
        <sz val="9"/>
        <color indexed="8"/>
        <rFont val="Arial Narrow"/>
        <family val="2"/>
      </rPr>
      <t xml:space="preserve">3,250
</t>
    </r>
    <r>
      <rPr>
        <sz val="9"/>
        <color indexed="8"/>
        <rFont val="Arial Narrow"/>
        <family val="2"/>
      </rPr>
      <t xml:space="preserve">3,250
</t>
    </r>
    <r>
      <rPr>
        <sz val="9"/>
        <color indexed="8"/>
        <rFont val="Arial Narrow"/>
        <family val="2"/>
      </rPr>
      <t xml:space="preserve">4,628
</t>
    </r>
    <r>
      <rPr>
        <sz val="9"/>
        <color indexed="8"/>
        <rFont val="Arial Narrow"/>
        <family val="2"/>
      </rPr>
      <t xml:space="preserve">4,628
</t>
    </r>
    <r>
      <rPr>
        <sz val="9"/>
        <color indexed="8"/>
        <rFont val="Arial Narrow"/>
        <family val="2"/>
      </rPr>
      <t xml:space="preserve">6,475
</t>
    </r>
    <r>
      <rPr>
        <sz val="9"/>
        <color indexed="8"/>
        <rFont val="Arial Narrow"/>
        <family val="2"/>
      </rPr>
      <t xml:space="preserve">6,475
</t>
    </r>
    <r>
      <rPr>
        <sz val="9"/>
        <color indexed="8"/>
        <rFont val="Arial Narrow"/>
        <family val="2"/>
      </rPr>
      <t xml:space="preserve">13,700
</t>
    </r>
    <r>
      <rPr>
        <sz val="9"/>
        <color indexed="8"/>
        <rFont val="Arial Narrow"/>
        <family val="2"/>
      </rPr>
      <t>13,700</t>
    </r>
  </si>
  <si>
    <r>
      <rPr>
        <sz val="9"/>
        <color indexed="8"/>
        <rFont val="Arial Narrow"/>
        <family val="2"/>
      </rPr>
      <t xml:space="preserve">sf sf sf sf sf
</t>
    </r>
    <r>
      <rPr>
        <sz val="9"/>
        <color indexed="8"/>
        <rFont val="Arial Narrow"/>
        <family val="2"/>
      </rPr>
      <t xml:space="preserve">sf sf sf sf sf sf
</t>
    </r>
    <r>
      <rPr>
        <sz val="9"/>
        <color indexed="8"/>
        <rFont val="Arial Narrow"/>
        <family val="2"/>
      </rPr>
      <t xml:space="preserve">sf sf
</t>
    </r>
    <r>
      <rPr>
        <sz val="9"/>
        <color indexed="8"/>
        <rFont val="Arial Narrow"/>
        <family val="2"/>
      </rPr>
      <t>sf sf</t>
    </r>
  </si>
  <si>
    <r>
      <rPr>
        <sz val="9"/>
        <color indexed="8"/>
        <rFont val="Arial Narrow"/>
        <family val="2"/>
      </rPr>
      <t xml:space="preserve">$                  142.80
</t>
    </r>
    <r>
      <rPr>
        <sz val="9"/>
        <color indexed="8"/>
        <rFont val="Arial Narrow"/>
        <family val="2"/>
      </rPr>
      <t xml:space="preserve">$                  214.20
</t>
    </r>
    <r>
      <rPr>
        <sz val="9"/>
        <color indexed="8"/>
        <rFont val="Arial Narrow"/>
        <family val="2"/>
      </rPr>
      <t xml:space="preserve">$                  200.00
</t>
    </r>
    <r>
      <rPr>
        <sz val="9"/>
        <color indexed="8"/>
        <rFont val="Arial Narrow"/>
        <family val="2"/>
      </rPr>
      <t xml:space="preserve">$                  357.00
</t>
    </r>
    <r>
      <rPr>
        <sz val="9"/>
        <color indexed="8"/>
        <rFont val="Arial Narrow"/>
        <family val="2"/>
      </rPr>
      <t xml:space="preserve">$                  200.00
</t>
    </r>
    <r>
      <rPr>
        <sz val="9"/>
        <color indexed="8"/>
        <rFont val="Arial Narrow"/>
        <family val="2"/>
      </rPr>
      <t xml:space="preserve">$                  166.60
</t>
    </r>
    <r>
      <rPr>
        <sz val="9"/>
        <color indexed="8"/>
        <rFont val="Arial Narrow"/>
        <family val="2"/>
      </rPr>
      <t xml:space="preserve">$                  200.00
</t>
    </r>
    <r>
      <rPr>
        <sz val="9"/>
        <color indexed="8"/>
        <rFont val="Arial Narrow"/>
        <family val="2"/>
      </rPr>
      <t xml:space="preserve">$                  333.20
</t>
    </r>
    <r>
      <rPr>
        <sz val="9"/>
        <color indexed="8"/>
        <rFont val="Arial Narrow"/>
        <family val="2"/>
      </rPr>
      <t xml:space="preserve">$                  200.00
</t>
    </r>
    <r>
      <rPr>
        <sz val="9"/>
        <color indexed="8"/>
        <rFont val="Arial Narrow"/>
        <family val="2"/>
      </rPr>
      <t xml:space="preserve">$                  636.65
</t>
    </r>
    <r>
      <rPr>
        <sz val="9"/>
        <color indexed="8"/>
        <rFont val="Arial Narrow"/>
        <family val="2"/>
      </rPr>
      <t xml:space="preserve">$                    49.98
</t>
    </r>
    <r>
      <rPr>
        <sz val="9"/>
        <color indexed="8"/>
        <rFont val="Arial Narrow"/>
        <family val="2"/>
      </rPr>
      <t xml:space="preserve">$                  214.20
</t>
    </r>
    <r>
      <rPr>
        <sz val="9"/>
        <color indexed="8"/>
        <rFont val="Arial Narrow"/>
        <family val="2"/>
      </rPr>
      <t xml:space="preserve">$                  200.00
</t>
    </r>
    <r>
      <rPr>
        <sz val="9"/>
        <color indexed="8"/>
        <rFont val="Arial Narrow"/>
        <family val="2"/>
      </rPr>
      <t xml:space="preserve">$                  416.50
</t>
    </r>
    <r>
      <rPr>
        <sz val="9"/>
        <color indexed="8"/>
        <rFont val="Arial Narrow"/>
        <family val="2"/>
      </rPr>
      <t>$                  350.00</t>
    </r>
  </si>
  <si>
    <r>
      <rPr>
        <sz val="9"/>
        <color indexed="8"/>
        <rFont val="Arial Narrow"/>
        <family val="2"/>
      </rPr>
      <t xml:space="preserve">$              2,027,760
</t>
    </r>
    <r>
      <rPr>
        <sz val="9"/>
        <color indexed="8"/>
        <rFont val="Arial Narrow"/>
        <family val="2"/>
      </rPr>
      <t xml:space="preserve">$              1,292,483
</t>
    </r>
    <r>
      <rPr>
        <sz val="9"/>
        <color indexed="8"/>
        <rFont val="Arial Narrow"/>
        <family val="2"/>
      </rPr>
      <t xml:space="preserve">$              1,206,800
</t>
    </r>
    <r>
      <rPr>
        <sz val="9"/>
        <color indexed="8"/>
        <rFont val="Arial Narrow"/>
        <family val="2"/>
      </rPr>
      <t xml:space="preserve">$              3,877,020
</t>
    </r>
    <r>
      <rPr>
        <sz val="9"/>
        <color indexed="8"/>
        <rFont val="Arial Narrow"/>
        <family val="2"/>
      </rPr>
      <t xml:space="preserve">$              2,172,000
</t>
    </r>
    <r>
      <rPr>
        <sz val="9"/>
        <color indexed="8"/>
        <rFont val="Arial Narrow"/>
        <family val="2"/>
      </rPr>
      <t xml:space="preserve">$              1,327,802
</t>
    </r>
    <r>
      <rPr>
        <sz val="9"/>
        <color indexed="8"/>
        <rFont val="Arial Narrow"/>
        <family val="2"/>
      </rPr>
      <t xml:space="preserve">$              1,594,000
</t>
    </r>
    <r>
      <rPr>
        <sz val="9"/>
        <color indexed="8"/>
        <rFont val="Arial Narrow"/>
        <family val="2"/>
      </rPr>
      <t xml:space="preserve">$              1,082,900
</t>
    </r>
    <r>
      <rPr>
        <sz val="9"/>
        <color indexed="8"/>
        <rFont val="Arial Narrow"/>
        <family val="2"/>
      </rPr>
      <t xml:space="preserve">$                 650,000
</t>
    </r>
    <r>
      <rPr>
        <sz val="9"/>
        <color indexed="8"/>
        <rFont val="Arial Narrow"/>
        <family val="2"/>
      </rPr>
      <t xml:space="preserve">$              2,946,671
</t>
    </r>
    <r>
      <rPr>
        <sz val="9"/>
        <color indexed="8"/>
        <rFont val="Arial Narrow"/>
        <family val="2"/>
      </rPr>
      <t xml:space="preserve">$                 231,327
</t>
    </r>
    <r>
      <rPr>
        <sz val="9"/>
        <color indexed="8"/>
        <rFont val="Arial Narrow"/>
        <family val="2"/>
      </rPr>
      <t xml:space="preserve">$              1,386,945
</t>
    </r>
    <r>
      <rPr>
        <sz val="9"/>
        <color indexed="8"/>
        <rFont val="Arial Narrow"/>
        <family val="2"/>
      </rPr>
      <t xml:space="preserve">$              1,295,000
</t>
    </r>
    <r>
      <rPr>
        <sz val="9"/>
        <color indexed="8"/>
        <rFont val="Arial Narrow"/>
        <family val="2"/>
      </rPr>
      <t xml:space="preserve">$              5,706,050
</t>
    </r>
    <r>
      <rPr>
        <sz val="9"/>
        <color indexed="8"/>
        <rFont val="Arial Narrow"/>
        <family val="2"/>
      </rPr>
      <t>$              4,795,000</t>
    </r>
  </si>
  <si>
    <r>
      <rPr>
        <sz val="9"/>
        <color indexed="8"/>
        <rFont val="Arial Narrow"/>
        <family val="2"/>
      </rPr>
      <t>bldg. g</t>
    </r>
  </si>
  <si>
    <r>
      <rPr>
        <sz val="9"/>
        <color indexed="8"/>
        <rFont val="Arial Narrow"/>
        <family val="2"/>
      </rPr>
      <t>set construction</t>
    </r>
  </si>
  <si>
    <r>
      <rPr>
        <sz val="9"/>
        <color indexed="8"/>
        <rFont val="Arial Narrow"/>
        <family val="2"/>
      </rPr>
      <t>Auditorium</t>
    </r>
  </si>
  <si>
    <r>
      <rPr>
        <sz val="9"/>
        <color indexed="8"/>
        <rFont val="Arial Narrow"/>
        <family val="2"/>
      </rPr>
      <t xml:space="preserve">Multipurpose Rooms Moderate modernization
</t>
    </r>
    <r>
      <rPr>
        <sz val="9"/>
        <color indexed="8"/>
        <rFont val="Arial Narrow"/>
        <family val="2"/>
      </rPr>
      <t xml:space="preserve">Food Service
</t>
    </r>
    <r>
      <rPr>
        <sz val="9"/>
        <color indexed="8"/>
        <rFont val="Arial Narrow"/>
        <family val="2"/>
      </rPr>
      <t>Moderate modernization</t>
    </r>
  </si>
  <si>
    <r>
      <rPr>
        <sz val="9"/>
        <color indexed="8"/>
        <rFont val="Arial Narrow"/>
        <family val="2"/>
      </rPr>
      <t xml:space="preserve">3,500
</t>
    </r>
    <r>
      <rPr>
        <sz val="9"/>
        <color indexed="8"/>
        <rFont val="Arial Narrow"/>
        <family val="2"/>
      </rPr>
      <t>3,300</t>
    </r>
  </si>
  <si>
    <r>
      <rPr>
        <sz val="9"/>
        <color indexed="8"/>
        <rFont val="Arial Narrow"/>
        <family val="2"/>
      </rPr>
      <t xml:space="preserve">$                  333.20
</t>
    </r>
    <r>
      <rPr>
        <sz val="9"/>
        <color indexed="8"/>
        <rFont val="Arial Narrow"/>
        <family val="2"/>
      </rPr>
      <t>$                  386.75</t>
    </r>
  </si>
  <si>
    <r>
      <rPr>
        <sz val="9"/>
        <color indexed="8"/>
        <rFont val="Arial Narrow"/>
        <family val="2"/>
      </rPr>
      <t xml:space="preserve">$              1,167,000
</t>
    </r>
    <r>
      <rPr>
        <sz val="9"/>
        <color indexed="8"/>
        <rFont val="Arial Narrow"/>
        <family val="2"/>
      </rPr>
      <t>$              1,277,000</t>
    </r>
  </si>
  <si>
    <r>
      <rPr>
        <sz val="9"/>
        <color indexed="8"/>
        <rFont val="Arial Narrow"/>
        <family val="2"/>
      </rPr>
      <t xml:space="preserve">Middle School and High School Library and Innovation Lab
</t>
    </r>
    <r>
      <rPr>
        <sz val="9"/>
        <color indexed="8"/>
        <rFont val="Arial Narrow"/>
        <family val="2"/>
      </rPr>
      <t>Moderate modernization</t>
    </r>
  </si>
  <si>
    <r>
      <rPr>
        <sz val="9"/>
        <color indexed="8"/>
        <rFont val="Arial Narrow"/>
        <family val="2"/>
      </rPr>
      <t xml:space="preserve">Administration
</t>
    </r>
    <r>
      <rPr>
        <sz val="9"/>
        <color indexed="8"/>
        <rFont val="Arial Narrow"/>
        <family val="2"/>
      </rPr>
      <t>Minor modernization</t>
    </r>
  </si>
  <si>
    <r>
      <rPr>
        <sz val="9"/>
        <color indexed="8"/>
        <rFont val="Arial Narrow"/>
        <family val="2"/>
      </rPr>
      <t xml:space="preserve">Demolish existing buildings Gymnasium
</t>
    </r>
    <r>
      <rPr>
        <sz val="9"/>
        <color indexed="8"/>
        <rFont val="Arial Narrow"/>
        <family val="2"/>
      </rPr>
      <t xml:space="preserve">Gymnasium, two story building
</t>
    </r>
    <r>
      <rPr>
        <sz val="9"/>
        <color indexed="8"/>
        <rFont val="Arial Narrow"/>
        <family val="2"/>
      </rPr>
      <t>Site improvements surrounding building pad</t>
    </r>
  </si>
  <si>
    <r>
      <rPr>
        <sz val="9"/>
        <color indexed="8"/>
        <rFont val="Arial Narrow"/>
        <family val="2"/>
      </rPr>
      <t xml:space="preserve">29,465
</t>
    </r>
    <r>
      <rPr>
        <sz val="9"/>
        <color indexed="8"/>
        <rFont val="Arial Narrow"/>
        <family val="2"/>
      </rPr>
      <t xml:space="preserve">35,910
</t>
    </r>
    <r>
      <rPr>
        <sz val="9"/>
        <color indexed="8"/>
        <rFont val="Arial Narrow"/>
        <family val="2"/>
      </rPr>
      <t>17,955</t>
    </r>
  </si>
  <si>
    <r>
      <rPr>
        <sz val="9"/>
        <color indexed="8"/>
        <rFont val="Arial Narrow"/>
        <family val="2"/>
      </rPr>
      <t xml:space="preserve">sf
</t>
    </r>
    <r>
      <rPr>
        <sz val="9"/>
        <color indexed="8"/>
        <rFont val="Arial Narrow"/>
        <family val="2"/>
      </rPr>
      <t>sf sf</t>
    </r>
  </si>
  <si>
    <r>
      <rPr>
        <sz val="9"/>
        <color indexed="8"/>
        <rFont val="Arial Narrow"/>
        <family val="2"/>
      </rPr>
      <t xml:space="preserve">$                    29.75
</t>
    </r>
    <r>
      <rPr>
        <sz val="9"/>
        <color indexed="8"/>
        <rFont val="Arial Narrow"/>
        <family val="2"/>
      </rPr>
      <t xml:space="preserve">$                  999.60
</t>
    </r>
    <r>
      <rPr>
        <sz val="9"/>
        <color indexed="8"/>
        <rFont val="Arial Narrow"/>
        <family val="2"/>
      </rPr>
      <t>$                    49.98</t>
    </r>
  </si>
  <si>
    <r>
      <rPr>
        <sz val="9"/>
        <color indexed="8"/>
        <rFont val="Arial Narrow"/>
        <family val="2"/>
      </rPr>
      <t xml:space="preserve">$                 876,584
</t>
    </r>
    <r>
      <rPr>
        <sz val="9"/>
        <color indexed="8"/>
        <rFont val="Arial Narrow"/>
        <family val="2"/>
      </rPr>
      <t xml:space="preserve">$            35,895,636
</t>
    </r>
    <r>
      <rPr>
        <sz val="9"/>
        <color indexed="8"/>
        <rFont val="Arial Narrow"/>
        <family val="2"/>
      </rPr>
      <t>$                 897,391</t>
    </r>
  </si>
  <si>
    <r>
      <rPr>
        <sz val="9"/>
        <color indexed="8"/>
        <rFont val="Arial Narrow"/>
        <family val="2"/>
      </rPr>
      <t>includes locker rooms, weight</t>
    </r>
  </si>
  <si>
    <r>
      <rPr>
        <sz val="9"/>
        <color indexed="8"/>
        <rFont val="Arial Narrow"/>
        <family val="2"/>
      </rPr>
      <t>Aquatics building, one-story</t>
    </r>
  </si>
  <si>
    <r>
      <rPr>
        <sz val="9"/>
        <color indexed="8"/>
        <rFont val="Arial Narrow"/>
        <family val="2"/>
      </rPr>
      <t>Aquatics complex (33M pool) with bleachers and shade</t>
    </r>
  </si>
  <si>
    <r>
      <rPr>
        <sz val="9"/>
        <color indexed="8"/>
        <rFont val="Arial Narrow"/>
        <family val="2"/>
      </rPr>
      <t>Athletics plaza</t>
    </r>
  </si>
  <si>
    <r>
      <rPr>
        <sz val="9"/>
        <color indexed="8"/>
        <rFont val="Arial Narrow"/>
        <family val="2"/>
      </rPr>
      <t>Resurface and repair existing parking lot</t>
    </r>
  </si>
  <si>
    <r>
      <rPr>
        <sz val="9"/>
        <color indexed="8"/>
        <rFont val="Arial Narrow"/>
        <family val="2"/>
      </rPr>
      <t>New student quad</t>
    </r>
  </si>
  <si>
    <r>
      <rPr>
        <sz val="9"/>
        <color indexed="8"/>
        <rFont val="Arial Narrow"/>
        <family val="2"/>
      </rPr>
      <t>enhance</t>
    </r>
  </si>
  <si>
    <r>
      <rPr>
        <sz val="9"/>
        <color indexed="8"/>
        <rFont val="Arial Narrow"/>
        <family val="2"/>
      </rPr>
      <t>Play yard and hardcourts</t>
    </r>
  </si>
  <si>
    <r>
      <rPr>
        <sz val="9"/>
        <color indexed="8"/>
        <rFont val="Arial Narrow"/>
        <family val="2"/>
      </rPr>
      <t>Baseball and softball fields</t>
    </r>
  </si>
  <si>
    <r>
      <rPr>
        <sz val="9"/>
        <color indexed="8"/>
        <rFont val="Arial Narrow"/>
        <family val="2"/>
      </rPr>
      <t>Repair natural turf</t>
    </r>
  </si>
  <si>
    <r>
      <rPr>
        <sz val="9"/>
        <color indexed="8"/>
        <rFont val="Arial Narrow"/>
        <family val="2"/>
      </rPr>
      <t>New field equipment including bases and mounds</t>
    </r>
  </si>
  <si>
    <r>
      <rPr>
        <sz val="9"/>
        <color indexed="8"/>
        <rFont val="Arial Narrow"/>
        <family val="2"/>
      </rPr>
      <t>New backstop</t>
    </r>
  </si>
  <si>
    <r>
      <rPr>
        <sz val="9"/>
        <color indexed="8"/>
        <rFont val="Arial Narrow"/>
        <family val="2"/>
      </rPr>
      <t>New field lighting</t>
    </r>
  </si>
  <si>
    <r>
      <rPr>
        <sz val="9"/>
        <color indexed="8"/>
        <rFont val="Arial Narrow"/>
        <family val="2"/>
      </rPr>
      <t>Track, field and stadium</t>
    </r>
  </si>
  <si>
    <r>
      <rPr>
        <sz val="9"/>
        <color indexed="8"/>
        <rFont val="Arial Narrow"/>
        <family val="2"/>
      </rPr>
      <t>New synthetic turf, football field</t>
    </r>
  </si>
  <si>
    <r>
      <rPr>
        <sz val="9"/>
        <color indexed="8"/>
        <rFont val="Arial Narrow"/>
        <family val="2"/>
      </rPr>
      <t>just surfacing</t>
    </r>
  </si>
  <si>
    <r>
      <rPr>
        <sz val="9"/>
        <color indexed="8"/>
        <rFont val="Arial Narrow"/>
        <family val="2"/>
      </rPr>
      <t>New synthetic track</t>
    </r>
  </si>
  <si>
    <r>
      <rPr>
        <sz val="9"/>
        <color indexed="8"/>
        <rFont val="Arial Narrow"/>
        <family val="2"/>
      </rPr>
      <t>New shot put</t>
    </r>
  </si>
  <si>
    <r>
      <rPr>
        <sz val="9"/>
        <color indexed="8"/>
        <rFont val="Arial Narrow"/>
        <family val="2"/>
      </rPr>
      <t>New bleachers</t>
    </r>
  </si>
  <si>
    <r>
      <rPr>
        <sz val="9"/>
        <color indexed="8"/>
        <rFont val="Arial Narrow"/>
        <family val="2"/>
      </rPr>
      <t>seat</t>
    </r>
  </si>
  <si>
    <r>
      <rPr>
        <sz val="9"/>
        <color indexed="8"/>
        <rFont val="Arial Narrow"/>
        <family val="2"/>
      </rPr>
      <t>New press box</t>
    </r>
  </si>
  <si>
    <r>
      <rPr>
        <sz val="9"/>
        <color indexed="8"/>
        <rFont val="Arial Narrow"/>
        <family val="2"/>
      </rPr>
      <t>New scoreboard</t>
    </r>
  </si>
  <si>
    <r>
      <rPr>
        <sz val="9"/>
        <color indexed="8"/>
        <rFont val="Arial Narrow"/>
        <family val="2"/>
      </rPr>
      <t>New tennis court</t>
    </r>
  </si>
  <si>
    <r>
      <rPr>
        <sz val="9"/>
        <color indexed="8"/>
        <rFont val="Arial Narrow"/>
        <family val="2"/>
      </rPr>
      <t>Tennis courts (existing), new fencing and lighting</t>
    </r>
  </si>
  <si>
    <r>
      <rPr>
        <sz val="9"/>
        <color indexed="8"/>
        <rFont val="Arial Narrow"/>
        <family val="2"/>
      </rPr>
      <t>Field House building, modernization</t>
    </r>
  </si>
  <si>
    <r>
      <rPr>
        <sz val="9"/>
        <color indexed="8"/>
        <rFont val="Arial Narrow"/>
        <family val="2"/>
      </rPr>
      <t>New Concessions / Restrooms / Team Room building, one- story</t>
    </r>
  </si>
  <si>
    <r>
      <rPr>
        <sz val="9"/>
        <color indexed="8"/>
        <rFont val="Arial Narrow"/>
        <family val="2"/>
      </rPr>
      <t>Storage building, minor scope</t>
    </r>
  </si>
  <si>
    <r>
      <rPr>
        <sz val="9"/>
        <color indexed="8"/>
        <rFont val="Arial Narrow"/>
        <family val="2"/>
      </rPr>
      <t xml:space="preserve">Flexible furniture per MPR / cafeteria (direct cost)                                         1      ea      $             60,000.00    $                   60,000 Flexible furniture per outdoor lunch area  (direct cost)                                  1      ea      $             60,000.00    $                   60,000
</t>
    </r>
    <r>
      <rPr>
        <sz val="9"/>
        <color indexed="8"/>
        <rFont val="Arial Narrow"/>
        <family val="2"/>
      </rPr>
      <t>No scope in this category</t>
    </r>
  </si>
  <si>
    <r>
      <rPr>
        <b/>
        <sz val="10"/>
        <color indexed="12"/>
        <rFont val="Arial Narrow"/>
        <family val="2"/>
      </rPr>
      <t>14. Technology Equipment                                                                                                                 $           1,125,000</t>
    </r>
  </si>
  <si>
    <r>
      <rPr>
        <sz val="9"/>
        <color indexed="8"/>
        <rFont val="Arial Narrow"/>
        <family val="2"/>
      </rPr>
      <t xml:space="preserve">Classroom technology package - smart boards, projector,
</t>
    </r>
    <r>
      <rPr>
        <sz val="9"/>
        <color indexed="8"/>
        <rFont val="Arial Narrow"/>
        <family val="2"/>
      </rPr>
      <t xml:space="preserve">project mounts, flat screen monitor, audio system, etc.
</t>
    </r>
    <r>
      <rPr>
        <vertAlign val="superscript"/>
        <sz val="9"/>
        <color indexed="8"/>
        <rFont val="Arial Narrow"/>
        <family val="2"/>
      </rPr>
      <t xml:space="preserve">(direct cost)                                                                                                  </t>
    </r>
    <r>
      <rPr>
        <sz val="9"/>
        <color indexed="8"/>
        <rFont val="Arial Narrow"/>
        <family val="2"/>
      </rPr>
      <t>54      ea      $             20,825.00    $              1,125,000</t>
    </r>
  </si>
  <si>
    <r>
      <rPr>
        <b/>
        <sz val="10"/>
        <color indexed="8"/>
        <rFont val="Arial Narrow"/>
        <family val="2"/>
      </rPr>
      <t>TOTAL PROJECT COSTS (2024$)                                                                                                       $      129,799,000</t>
    </r>
  </si>
  <si>
    <t>ProjList_Init</t>
  </si>
  <si>
    <t>ID</t>
  </si>
  <si>
    <t>Category</t>
  </si>
  <si>
    <t>Site</t>
  </si>
  <si>
    <t>Project Description</t>
  </si>
  <si>
    <t>Const Cost</t>
  </si>
  <si>
    <t>Total Cost (+33%)</t>
  </si>
  <si>
    <t>Notes</t>
  </si>
  <si>
    <t>C1</t>
  </si>
  <si>
    <t>Modernization / Reconfigure Existing Classrooms</t>
  </si>
  <si>
    <t>Carver</t>
  </si>
  <si>
    <t>Existing Classrooms</t>
  </si>
  <si>
    <t>C2</t>
  </si>
  <si>
    <t>Exteriors</t>
  </si>
  <si>
    <t>C3</t>
  </si>
  <si>
    <t>Roofing</t>
  </si>
  <si>
    <t>one building</t>
  </si>
  <si>
    <t>C4</t>
  </si>
  <si>
    <t>Restroom Upgrades</t>
  </si>
  <si>
    <t>C5</t>
  </si>
  <si>
    <t>Building Systems</t>
  </si>
  <si>
    <t>C6</t>
  </si>
  <si>
    <t>Low Voltage Upgrades</t>
  </si>
  <si>
    <t>C7</t>
  </si>
  <si>
    <t>Upgrade Backbone, wireless access points, &amp; switches (direct cost)</t>
  </si>
  <si>
    <t>C8</t>
  </si>
  <si>
    <t>Upgrade fiber optic connectivity (direct cost)</t>
  </si>
  <si>
    <t>C9</t>
  </si>
  <si>
    <t>Site Utilities</t>
  </si>
  <si>
    <t>Sanitary &amp; Storm drain upgrades</t>
  </si>
  <si>
    <t>C10</t>
  </si>
  <si>
    <t>New Construction (Classrooms)</t>
  </si>
  <si>
    <t>Preschool, TK and Kindergarten</t>
  </si>
  <si>
    <t>remove 3 portables; replace with permanent building(s)</t>
  </si>
  <si>
    <t>C11</t>
  </si>
  <si>
    <t>Grades 1-5</t>
  </si>
  <si>
    <t>remove 2 portables; replace with modular building(s)</t>
  </si>
  <si>
    <t>C12</t>
  </si>
  <si>
    <t>Flex Labs, Science, VAPA, Theater &amp; Elective Spaces</t>
  </si>
  <si>
    <t>Minor modernization to existing spaces</t>
  </si>
  <si>
    <t>C13</t>
  </si>
  <si>
    <t>Multipurpose Room (MPR) &amp; Food Service</t>
  </si>
  <si>
    <t>MPR minor modernization, new A/V &amp; lighting</t>
  </si>
  <si>
    <t>C14</t>
  </si>
  <si>
    <t>Lunch court</t>
  </si>
  <si>
    <t>C15</t>
  </si>
  <si>
    <t>Food service area reconfiguration &amp; small add'l building</t>
  </si>
  <si>
    <t>C16</t>
  </si>
  <si>
    <t>Library</t>
  </si>
  <si>
    <t>C17</t>
  </si>
  <si>
    <t>Student Support &amp; Counseling</t>
  </si>
  <si>
    <t>Learning center (moderate expansion of admin space)</t>
  </si>
  <si>
    <t>C18</t>
  </si>
  <si>
    <t>Wellness center (minor expansion of adminn space)</t>
  </si>
  <si>
    <t>C19</t>
  </si>
  <si>
    <t>Administration &amp; Staff Support</t>
  </si>
  <si>
    <t>C20</t>
  </si>
  <si>
    <t>C21</t>
  </si>
  <si>
    <t>Safety and Security</t>
  </si>
  <si>
    <t>Replace parking lot lights w/ LED</t>
  </si>
  <si>
    <t>JMM: lights are relatively new and already LED</t>
  </si>
  <si>
    <t>C22</t>
  </si>
  <si>
    <t>New drop-off area</t>
  </si>
  <si>
    <t>C23</t>
  </si>
  <si>
    <t>New concrete pedestrian paving</t>
  </si>
  <si>
    <t>C24</t>
  </si>
  <si>
    <t>Remove / replace retaining wall</t>
  </si>
  <si>
    <t>C25</t>
  </si>
  <si>
    <t>ADA path of travel upgrades</t>
  </si>
  <si>
    <t>C26</t>
  </si>
  <si>
    <t>Rolling chain link gate</t>
  </si>
  <si>
    <t>C27</t>
  </si>
  <si>
    <t>Decorative metal fencing and gates</t>
  </si>
  <si>
    <t>C28</t>
  </si>
  <si>
    <t>Rolling decorative metal gate</t>
  </si>
  <si>
    <t>C29</t>
  </si>
  <si>
    <t>New exterior lighting for student safety</t>
  </si>
  <si>
    <t>C30</t>
  </si>
  <si>
    <t>New safety locks to existing classroom doors</t>
  </si>
  <si>
    <t>C31</t>
  </si>
  <si>
    <t>New emergency signs and posts</t>
  </si>
  <si>
    <t>C32</t>
  </si>
  <si>
    <t>Landscape buffer at existing fence</t>
  </si>
  <si>
    <t>C33</t>
  </si>
  <si>
    <t>Security cameras</t>
  </si>
  <si>
    <t>C34</t>
  </si>
  <si>
    <t>Outdoor Learning Environments &amp; Quads</t>
  </si>
  <si>
    <t>Landscape enhancements</t>
  </si>
  <si>
    <t>C35</t>
  </si>
  <si>
    <t>New learning courts</t>
  </si>
  <si>
    <t>C36</t>
  </si>
  <si>
    <t>Exterior Play Spaces, Playfields &amp; Hardcourts</t>
  </si>
  <si>
    <t>Kindergarten play yard</t>
  </si>
  <si>
    <t>C37</t>
  </si>
  <si>
    <t>TK play yard</t>
  </si>
  <si>
    <t>C38</t>
  </si>
  <si>
    <t>Grades 1-5 play yard &amp; hardcourts</t>
  </si>
  <si>
    <t>includes solar shade structure</t>
  </si>
  <si>
    <t>C39</t>
  </si>
  <si>
    <t>Next Generation Classroom Flexibility</t>
  </si>
  <si>
    <t>Flexible furniture - classrooms (direct cost)</t>
  </si>
  <si>
    <t>C40</t>
  </si>
  <si>
    <t>Flexible furniture - library (direct cost)</t>
  </si>
  <si>
    <t>C41</t>
  </si>
  <si>
    <t>Flexible furniture - MPR (direct cost)</t>
  </si>
  <si>
    <t>C42</t>
  </si>
  <si>
    <t>Flexible furniture - lunch court (direct cost)</t>
  </si>
  <si>
    <t>C43</t>
  </si>
  <si>
    <t>Technology Equipment</t>
  </si>
  <si>
    <t>Classroom tech - smart boards, projectors, audio, etc. (direct cost)</t>
  </si>
  <si>
    <t>V1</t>
  </si>
  <si>
    <t>Valentine</t>
  </si>
  <si>
    <t>V2</t>
  </si>
  <si>
    <t>V3</t>
  </si>
  <si>
    <t>3 buildings, 1 walkway</t>
  </si>
  <si>
    <t>V4</t>
  </si>
  <si>
    <t>V5</t>
  </si>
  <si>
    <t>V6</t>
  </si>
  <si>
    <t>V7</t>
  </si>
  <si>
    <t>V8</t>
  </si>
  <si>
    <t>V9</t>
  </si>
  <si>
    <t>V10</t>
  </si>
  <si>
    <t>Electrical service upgrade &amp; capacity expansion</t>
  </si>
  <si>
    <t>V11</t>
  </si>
  <si>
    <t>permanent building</t>
  </si>
  <si>
    <t>V12</t>
  </si>
  <si>
    <t>2-storey permanent building</t>
  </si>
  <si>
    <t>V13</t>
  </si>
  <si>
    <t>Reconfiguration of existing STEM lab</t>
  </si>
  <si>
    <t>V14</t>
  </si>
  <si>
    <t>V15</t>
  </si>
  <si>
    <t>MPR, one storey building</t>
  </si>
  <si>
    <t>V16</t>
  </si>
  <si>
    <t>Food service building</t>
  </si>
  <si>
    <t>V17</t>
  </si>
  <si>
    <t>Reconfiguration of existing space as library</t>
  </si>
  <si>
    <t>V18</t>
  </si>
  <si>
    <t>Minor modernization &amp; reconfiguration of existing spaces</t>
  </si>
  <si>
    <t>V19</t>
  </si>
  <si>
    <t>V20</t>
  </si>
  <si>
    <t>New parking lot</t>
  </si>
  <si>
    <t>V21</t>
  </si>
  <si>
    <t>V22</t>
  </si>
  <si>
    <t>V23</t>
  </si>
  <si>
    <t>V24</t>
  </si>
  <si>
    <t>Perimeter CMU wall</t>
  </si>
  <si>
    <t>V25</t>
  </si>
  <si>
    <t>V26</t>
  </si>
  <si>
    <t>V27</t>
  </si>
  <si>
    <t>V28</t>
  </si>
  <si>
    <t>V29</t>
  </si>
  <si>
    <t>V30</t>
  </si>
  <si>
    <t>Shade sails</t>
  </si>
  <si>
    <t>V31</t>
  </si>
  <si>
    <t>V32</t>
  </si>
  <si>
    <t>V33</t>
  </si>
  <si>
    <t>V34</t>
  </si>
  <si>
    <t>Enhance learning courts</t>
  </si>
  <si>
    <t>V35</t>
  </si>
  <si>
    <t>TK/Kindergarten play yard</t>
  </si>
  <si>
    <t>V36</t>
  </si>
  <si>
    <t>V37</t>
  </si>
  <si>
    <t>V38</t>
  </si>
  <si>
    <t>V39</t>
  </si>
  <si>
    <t>V40</t>
  </si>
  <si>
    <t>H1</t>
  </si>
  <si>
    <t>Huntington</t>
  </si>
  <si>
    <t>H2</t>
  </si>
  <si>
    <t>H3</t>
  </si>
  <si>
    <t>8 buildings</t>
  </si>
  <si>
    <t>H4</t>
  </si>
  <si>
    <t>H5</t>
  </si>
  <si>
    <t>H6</t>
  </si>
  <si>
    <t>H7</t>
  </si>
  <si>
    <t>H8</t>
  </si>
  <si>
    <t>H9</t>
  </si>
  <si>
    <t>H10</t>
  </si>
  <si>
    <t>H11</t>
  </si>
  <si>
    <t>Natural gas</t>
  </si>
  <si>
    <t>H12</t>
  </si>
  <si>
    <t>Domestic plumbing &amp; fire water</t>
  </si>
  <si>
    <t>H13</t>
  </si>
  <si>
    <t>Classroom building to replace portables</t>
  </si>
  <si>
    <t>H14</t>
  </si>
  <si>
    <t>Science &amp; Art Existing Labs minor modernization &amp; reconfiguration</t>
  </si>
  <si>
    <t>H15</t>
  </si>
  <si>
    <t>Science &amp; Art Existing Labs small additional building</t>
  </si>
  <si>
    <t>H16</t>
  </si>
  <si>
    <t>Existing Music Room minor modernization &amp; reconfiguration</t>
  </si>
  <si>
    <t>H17</t>
  </si>
  <si>
    <t>Existing Music Room small additional building</t>
  </si>
  <si>
    <t>H18</t>
  </si>
  <si>
    <t>Auditorium moderate modernization</t>
  </si>
  <si>
    <t>H19</t>
  </si>
  <si>
    <t>MPR modernization</t>
  </si>
  <si>
    <t>H20</t>
  </si>
  <si>
    <t>Food service modernization</t>
  </si>
  <si>
    <t>H21</t>
  </si>
  <si>
    <t>Food service building addition</t>
  </si>
  <si>
    <t>H22</t>
  </si>
  <si>
    <t>H23</t>
  </si>
  <si>
    <t>Library reconfiguration</t>
  </si>
  <si>
    <t>H24</t>
  </si>
  <si>
    <t>Library building addition</t>
  </si>
  <si>
    <t>H25</t>
  </si>
  <si>
    <t>Existing learning center minor modernization &amp; reconfiguration</t>
  </si>
  <si>
    <t>H26</t>
  </si>
  <si>
    <t>Existing wellness center minor modernization</t>
  </si>
  <si>
    <t>H27</t>
  </si>
  <si>
    <t>Minor modernization &amp; reconfiguration of existing admin &amp; work room spaces</t>
  </si>
  <si>
    <t>H28</t>
  </si>
  <si>
    <t>H29</t>
  </si>
  <si>
    <t>Shade structure</t>
  </si>
  <si>
    <t>parking lot shade w/ PV solar</t>
  </si>
  <si>
    <t>H30</t>
  </si>
  <si>
    <t>H31</t>
  </si>
  <si>
    <t>H32</t>
  </si>
  <si>
    <t>H33</t>
  </si>
  <si>
    <t>H34</t>
  </si>
  <si>
    <t>H35</t>
  </si>
  <si>
    <t>H36</t>
  </si>
  <si>
    <t>H37</t>
  </si>
  <si>
    <t>H38</t>
  </si>
  <si>
    <t>H39</t>
  </si>
  <si>
    <t>New student amphitheater</t>
  </si>
  <si>
    <t>H40</t>
  </si>
  <si>
    <t>w/ PV solar</t>
  </si>
  <si>
    <t>H41</t>
  </si>
  <si>
    <t>Resurface and repair hardcourts</t>
  </si>
  <si>
    <t>H42</t>
  </si>
  <si>
    <t>Repair playfields (sod)</t>
  </si>
  <si>
    <t>H43</t>
  </si>
  <si>
    <t>Flexible furniture per classroom (direct cost)</t>
  </si>
  <si>
    <t>H44</t>
  </si>
  <si>
    <t>Flexible furniture per library (direct cost)</t>
  </si>
  <si>
    <t>H45</t>
  </si>
  <si>
    <t>Flexible furniture per MPR / cafeteria (direct cost)</t>
  </si>
  <si>
    <t>H46</t>
  </si>
  <si>
    <t>Flexible furniture per outdoor lunch area  (direct cost)</t>
  </si>
  <si>
    <t>H47</t>
  </si>
  <si>
    <t>HS1</t>
  </si>
  <si>
    <t>SMHS</t>
  </si>
  <si>
    <t>HS2</t>
  </si>
  <si>
    <t>HS3</t>
  </si>
  <si>
    <t>5 buildings</t>
  </si>
  <si>
    <t>HS4</t>
  </si>
  <si>
    <t>HS5</t>
  </si>
  <si>
    <t>HS6</t>
  </si>
  <si>
    <t>HS7</t>
  </si>
  <si>
    <t>HS8</t>
  </si>
  <si>
    <t>HS9</t>
  </si>
  <si>
    <t>HS10</t>
  </si>
  <si>
    <t>HS11</t>
  </si>
  <si>
    <t>HS12</t>
  </si>
  <si>
    <t>HS13</t>
  </si>
  <si>
    <t>Science &amp; Art Existing Labs moderate modernization &amp; reconfiguration</t>
  </si>
  <si>
    <t>HS14</t>
  </si>
  <si>
    <t>Existing Music Room moderate modernization</t>
  </si>
  <si>
    <t>HS15</t>
  </si>
  <si>
    <t>Existing Dance &amp; Drama rooms moderate modernization &amp; reconfiguration</t>
  </si>
  <si>
    <t>HS16</t>
  </si>
  <si>
    <t>Existing Dance &amp; Drama rooms additional building</t>
  </si>
  <si>
    <t>HS17</t>
  </si>
  <si>
    <t>Existing Auditorium moderate modernization</t>
  </si>
  <si>
    <t>HS18</t>
  </si>
  <si>
    <t>HS19</t>
  </si>
  <si>
    <t>HS20</t>
  </si>
  <si>
    <t>Existing Library Moderate modernization</t>
  </si>
  <si>
    <t>HS21</t>
  </si>
  <si>
    <t>Existing admin space minor modernization</t>
  </si>
  <si>
    <t>HS22</t>
  </si>
  <si>
    <t>Physical Education Improvements</t>
  </si>
  <si>
    <t>Gymnasiums replacement</t>
  </si>
  <si>
    <t>HS23</t>
  </si>
  <si>
    <t>Aquatics complex building &amp; pool</t>
  </si>
  <si>
    <t>HS24</t>
  </si>
  <si>
    <t>Resurface and repair existing parking lot</t>
  </si>
  <si>
    <t>HS25</t>
  </si>
  <si>
    <t>HS26</t>
  </si>
  <si>
    <t>HS27</t>
  </si>
  <si>
    <t>HS28</t>
  </si>
  <si>
    <t>HS29</t>
  </si>
  <si>
    <t>HS30</t>
  </si>
  <si>
    <t>HS31</t>
  </si>
  <si>
    <t>HS32</t>
  </si>
  <si>
    <t>HS33</t>
  </si>
  <si>
    <t>Enhancements to existing student quad</t>
  </si>
  <si>
    <t>HS34</t>
  </si>
  <si>
    <t>Enhancements to existing learning courts</t>
  </si>
  <si>
    <t>HS35</t>
  </si>
  <si>
    <t>Resurface hardcourts</t>
  </si>
  <si>
    <t>HS36</t>
  </si>
  <si>
    <t>HS37</t>
  </si>
  <si>
    <t>Baseball &amp; Softball - turf repair, lighting, backstop, field eqpm</t>
  </si>
  <si>
    <t>HS38</t>
  </si>
  <si>
    <t>Tennis court refurbishment</t>
  </si>
  <si>
    <t>HS39</t>
  </si>
  <si>
    <t>Field house modernization</t>
  </si>
  <si>
    <t>HS40</t>
  </si>
  <si>
    <t>New concessions, restroom, team room building</t>
  </si>
  <si>
    <t>HS41</t>
  </si>
  <si>
    <t>Small storage building</t>
  </si>
  <si>
    <t>HS42</t>
  </si>
  <si>
    <t>New tennis court</t>
  </si>
  <si>
    <t>HS43</t>
  </si>
  <si>
    <t>New track surface &amp; shotput area</t>
  </si>
  <si>
    <t>HS44</t>
  </si>
  <si>
    <t>New football field surface</t>
  </si>
  <si>
    <t>HS45</t>
  </si>
  <si>
    <t>New football bleachers, pressbox</t>
  </si>
  <si>
    <t>HS46</t>
  </si>
  <si>
    <t>new football scoreboard</t>
  </si>
  <si>
    <t>HS47</t>
  </si>
  <si>
    <t>new football lighting</t>
  </si>
  <si>
    <t>HS48</t>
  </si>
  <si>
    <t>HS49</t>
  </si>
  <si>
    <t>HS50</t>
  </si>
  <si>
    <t>HS51</t>
  </si>
  <si>
    <t>Flexible furniture - cafeteria (direct cost)</t>
  </si>
  <si>
    <t>HS52</t>
  </si>
  <si>
    <t>ProjList_Mod</t>
  </si>
  <si>
    <t>Priority</t>
  </si>
  <si>
    <t>High</t>
  </si>
  <si>
    <t>includes solar shade structure; cut down a few play structures</t>
  </si>
  <si>
    <t>cut down a few play structures</t>
  </si>
  <si>
    <t>cut in half</t>
  </si>
  <si>
    <t>cut down</t>
  </si>
  <si>
    <t>More detail?</t>
  </si>
  <si>
    <t>Medium</t>
  </si>
  <si>
    <t>Wellness center (minor expansion of admin space)</t>
  </si>
  <si>
    <t>Low</t>
  </si>
  <si>
    <t>Pivots</t>
  </si>
  <si>
    <t>PivotTable1</t>
  </si>
  <si>
    <t>Pivots - PivotTable1</t>
  </si>
  <si>
    <t>(Multiple Items)</t>
  </si>
  <si>
    <t>Grand Total</t>
  </si>
  <si>
    <t>Pivots - Table 1</t>
  </si>
  <si>
    <t>Target Cap: $135,000,000</t>
  </si>
  <si>
    <t>Sheet4</t>
  </si>
  <si>
    <t>HS</t>
  </si>
  <si>
    <t>when done with ProjList_Init, protect it then copy that worksheet to ProjList_Mod and add column for Priority; can modify costs on this version</t>
  </si>
  <si>
    <t>add worksheet for pivot tables</t>
  </si>
  <si>
    <t>Project Category</t>
  </si>
  <si>
    <t>------------</t>
  </si>
  <si>
    <t>Suggested Cap</t>
  </si>
  <si>
    <t>Difference</t>
  </si>
  <si>
    <t>Lookups</t>
  </si>
  <si>
    <t>Del Mar Field</t>
  </si>
  <si>
    <t>District Office</t>
  </si>
  <si>
    <t>Maintenance Yard</t>
  </si>
  <si>
    <t>Hill-Harbison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</si>
</sst>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 &quot;&quot;$&quot;* #,##0&quot; &quot;;&quot; &quot;&quot;$&quot;* \(#,##0\);&quot; &quot;&quot;$&quot;* &quot;-&quot;??&quot; &quot;"/>
    <numFmt numFmtId="165" formatCode="&quot;$&quot;&quot; &quot;#,##0"/>
    <numFmt numFmtId="166" formatCode="&quot;$&quot;&quot; &quot;#,##0.00"/>
    <numFmt numFmtId="167" formatCode="&quot;$&quot;&quot; &quot;0.00"/>
  </numFmts>
  <fonts count="25" x14ac:knownFonts="1">
    <font>
      <sz val="10"/>
      <color indexed="8"/>
      <name val="Times New Roman"/>
    </font>
    <font>
      <sz val="12"/>
      <color indexed="8"/>
      <name val="Times New Roman"/>
      <family val="1"/>
    </font>
    <font>
      <sz val="14"/>
      <color indexed="8"/>
      <name val="Times New Roman"/>
      <family val="1"/>
    </font>
    <font>
      <u/>
      <sz val="12"/>
      <color indexed="11"/>
      <name val="Times New Roman"/>
      <family val="1"/>
    </font>
    <font>
      <b/>
      <i/>
      <sz val="16"/>
      <color indexed="8"/>
      <name val="Calibri"/>
      <family val="2"/>
    </font>
    <font>
      <b/>
      <sz val="28"/>
      <color indexed="8"/>
      <name val="Arial Narrow"/>
      <family val="2"/>
    </font>
    <font>
      <b/>
      <sz val="22"/>
      <color indexed="8"/>
      <name val="Arial Narrow"/>
      <family val="2"/>
    </font>
    <font>
      <b/>
      <sz val="18"/>
      <color indexed="8"/>
      <name val="Arial Narrow"/>
      <family val="2"/>
    </font>
    <font>
      <sz val="18"/>
      <color indexed="8"/>
      <name val="Arial Narrow"/>
      <family val="2"/>
    </font>
    <font>
      <b/>
      <sz val="20"/>
      <color indexed="8"/>
      <name val="Arial Narrow"/>
      <family val="2"/>
    </font>
    <font>
      <b/>
      <sz val="20"/>
      <color indexed="14"/>
      <name val="Arial Narrow"/>
      <family val="2"/>
    </font>
    <font>
      <b/>
      <sz val="12"/>
      <color indexed="8"/>
      <name val="Arial Narrow"/>
      <family val="2"/>
    </font>
    <font>
      <b/>
      <sz val="10"/>
      <color indexed="8"/>
      <name val="Arial Narrow"/>
      <family val="2"/>
    </font>
    <font>
      <b/>
      <sz val="12"/>
      <color indexed="12"/>
      <name val="Arial Narrow"/>
      <family val="2"/>
    </font>
    <font>
      <b/>
      <sz val="10"/>
      <color indexed="12"/>
      <name val="Arial Narrow"/>
      <family val="2"/>
    </font>
    <font>
      <sz val="10"/>
      <color indexed="8"/>
      <name val="Arial Narrow"/>
      <family val="2"/>
    </font>
    <font>
      <b/>
      <sz val="9"/>
      <color indexed="8"/>
      <name val="Arial Narrow"/>
      <family val="2"/>
    </font>
    <font>
      <b/>
      <sz val="9"/>
      <color indexed="12"/>
      <name val="Arial Narrow"/>
      <family val="2"/>
    </font>
    <font>
      <b/>
      <vertAlign val="subscript"/>
      <sz val="10"/>
      <color indexed="12"/>
      <name val="Arial Narrow"/>
      <family val="2"/>
    </font>
    <font>
      <sz val="9"/>
      <color indexed="8"/>
      <name val="Arial Narrow"/>
      <family val="2"/>
    </font>
    <font>
      <b/>
      <u/>
      <sz val="10"/>
      <color indexed="8"/>
      <name val="Arial Narrow"/>
      <family val="2"/>
    </font>
    <font>
      <vertAlign val="superscript"/>
      <sz val="9"/>
      <color indexed="8"/>
      <name val="Arial Narrow"/>
      <family val="2"/>
    </font>
    <font>
      <b/>
      <sz val="10"/>
      <color indexed="8"/>
      <name val="Calibri"/>
      <family val="2"/>
    </font>
    <font>
      <sz val="12"/>
      <color indexed="8"/>
      <name val="Calibri"/>
      <family val="2"/>
    </font>
    <font>
      <b/>
      <sz val="10"/>
      <color indexed="8"/>
      <name val="Times New Roman"/>
      <family val="1"/>
    </font>
  </fonts>
  <fills count="2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8"/>
        <bgColor auto="1"/>
      </patternFill>
    </fill>
    <fill>
      <patternFill patternType="solid">
        <fgColor indexed="11"/>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35"/>
        <bgColor auto="1"/>
      </patternFill>
    </fill>
    <fill>
      <patternFill patternType="solid">
        <fgColor indexed="36"/>
        <bgColor auto="1"/>
      </patternFill>
    </fill>
    <fill>
      <patternFill patternType="solid">
        <fgColor indexed="32"/>
        <bgColor auto="1"/>
      </patternFill>
    </fill>
    <fill>
      <patternFill patternType="solid">
        <fgColor indexed="37"/>
        <bgColor auto="1"/>
      </patternFill>
    </fill>
    <fill>
      <patternFill patternType="solid">
        <fgColor indexed="38"/>
        <bgColor auto="1"/>
      </patternFill>
    </fill>
  </fills>
  <borders count="102">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right style="thin">
        <color indexed="13"/>
      </right>
      <top style="thin">
        <color indexed="13"/>
      </top>
      <bottom style="thin">
        <color indexed="13"/>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3"/>
      </right>
      <top/>
      <bottom style="thin">
        <color indexed="8"/>
      </bottom>
      <diagonal/>
    </border>
    <border>
      <left style="thin">
        <color indexed="13"/>
      </left>
      <right style="thin">
        <color indexed="8"/>
      </right>
      <top style="thin">
        <color indexed="13"/>
      </top>
      <bottom/>
      <diagonal/>
    </border>
    <border>
      <left style="thin">
        <color indexed="8"/>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style="thin">
        <color indexed="8"/>
      </right>
      <top style="thin">
        <color indexed="8"/>
      </top>
      <bottom/>
      <diagonal/>
    </border>
    <border>
      <left style="thin">
        <color indexed="8"/>
      </left>
      <right style="thin">
        <color indexed="13"/>
      </right>
      <top style="thin">
        <color indexed="13"/>
      </top>
      <bottom style="thin">
        <color indexed="13"/>
      </bottom>
      <diagonal/>
    </border>
    <border>
      <left style="thin">
        <color indexed="8"/>
      </left>
      <right/>
      <top/>
      <bottom/>
      <diagonal/>
    </border>
    <border>
      <left/>
      <right style="thin">
        <color indexed="8"/>
      </right>
      <top/>
      <bottom/>
      <diagonal/>
    </border>
    <border>
      <left style="thin">
        <color indexed="8"/>
      </left>
      <right style="thin">
        <color indexed="13"/>
      </right>
      <top/>
      <bottom style="thin">
        <color indexed="8"/>
      </bottom>
      <diagonal/>
    </border>
    <border>
      <left style="thin">
        <color indexed="13"/>
      </left>
      <right style="thin">
        <color indexed="8"/>
      </right>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bottom style="thin">
        <color indexed="13"/>
      </bottom>
      <diagonal/>
    </border>
    <border>
      <left style="thin">
        <color indexed="13"/>
      </left>
      <right style="thin">
        <color indexed="8"/>
      </right>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3"/>
      </right>
      <top style="thin">
        <color indexed="13"/>
      </top>
      <bottom style="thin">
        <color indexed="13"/>
      </bottom>
      <diagonal/>
    </border>
    <border>
      <left style="thin">
        <color indexed="18"/>
      </left>
      <right style="thin">
        <color indexed="13"/>
      </right>
      <top style="thin">
        <color indexed="18"/>
      </top>
      <bottom style="thin">
        <color indexed="18"/>
      </bottom>
      <diagonal/>
    </border>
    <border>
      <left style="thin">
        <color indexed="13"/>
      </left>
      <right style="thin">
        <color indexed="13"/>
      </right>
      <top style="thin">
        <color indexed="18"/>
      </top>
      <bottom style="thin">
        <color indexed="18"/>
      </bottom>
      <diagonal/>
    </border>
    <border>
      <left style="thin">
        <color indexed="13"/>
      </left>
      <right style="thin">
        <color indexed="18"/>
      </right>
      <top style="thin">
        <color indexed="18"/>
      </top>
      <bottom style="thin">
        <color indexed="18"/>
      </bottom>
      <diagonal/>
    </border>
    <border>
      <left style="thin">
        <color indexed="13"/>
      </left>
      <right style="thin">
        <color indexed="13"/>
      </right>
      <top style="thin">
        <color indexed="18"/>
      </top>
      <bottom style="thin">
        <color indexed="13"/>
      </bottom>
      <diagonal/>
    </border>
    <border>
      <left style="thin">
        <color indexed="21"/>
      </left>
      <right/>
      <top style="thin">
        <color indexed="21"/>
      </top>
      <bottom style="thin">
        <color indexed="21"/>
      </bottom>
      <diagonal/>
    </border>
    <border>
      <left/>
      <right/>
      <top style="thin">
        <color indexed="21"/>
      </top>
      <bottom style="thin">
        <color indexed="21"/>
      </bottom>
      <diagonal/>
    </border>
    <border>
      <left/>
      <right style="thin">
        <color indexed="21"/>
      </right>
      <top style="thin">
        <color indexed="21"/>
      </top>
      <bottom style="thin">
        <color indexed="21"/>
      </bottom>
      <diagonal/>
    </border>
    <border>
      <left style="thin">
        <color indexed="21"/>
      </left>
      <right style="thin">
        <color indexed="13"/>
      </right>
      <top style="thin">
        <color indexed="13"/>
      </top>
      <bottom style="thin">
        <color indexed="13"/>
      </bottom>
      <diagonal/>
    </border>
    <border>
      <left style="thin">
        <color indexed="21"/>
      </left>
      <right style="thin">
        <color indexed="13"/>
      </right>
      <top style="thin">
        <color indexed="21"/>
      </top>
      <bottom style="thin">
        <color indexed="21"/>
      </bottom>
      <diagonal/>
    </border>
    <border>
      <left style="thin">
        <color indexed="13"/>
      </left>
      <right style="thin">
        <color indexed="13"/>
      </right>
      <top style="thin">
        <color indexed="21"/>
      </top>
      <bottom style="thin">
        <color indexed="21"/>
      </bottom>
      <diagonal/>
    </border>
    <border>
      <left style="thin">
        <color indexed="13"/>
      </left>
      <right/>
      <top style="thin">
        <color indexed="21"/>
      </top>
      <bottom style="thin">
        <color indexed="21"/>
      </bottom>
      <diagonal/>
    </border>
    <border>
      <left style="thin">
        <color indexed="13"/>
      </left>
      <right style="thin">
        <color indexed="21"/>
      </right>
      <top style="thin">
        <color indexed="21"/>
      </top>
      <bottom style="thin">
        <color indexed="21"/>
      </bottom>
      <diagonal/>
    </border>
    <border>
      <left style="thin">
        <color indexed="13"/>
      </left>
      <right style="thin">
        <color indexed="13"/>
      </right>
      <top style="thin">
        <color indexed="21"/>
      </top>
      <bottom style="thin">
        <color indexed="13"/>
      </bottom>
      <diagonal/>
    </border>
    <border>
      <left style="thin">
        <color indexed="25"/>
      </left>
      <right style="thin">
        <color indexed="26"/>
      </right>
      <top style="thin">
        <color indexed="25"/>
      </top>
      <bottom style="medium">
        <color indexed="26"/>
      </bottom>
      <diagonal/>
    </border>
    <border>
      <left style="thin">
        <color indexed="26"/>
      </left>
      <right style="thin">
        <color indexed="27"/>
      </right>
      <top style="thin">
        <color indexed="25"/>
      </top>
      <bottom style="medium">
        <color indexed="26"/>
      </bottom>
      <diagonal/>
    </border>
    <border>
      <left style="thin">
        <color indexed="27"/>
      </left>
      <right style="thin">
        <color indexed="27"/>
      </right>
      <top style="thin">
        <color indexed="25"/>
      </top>
      <bottom style="medium">
        <color indexed="26"/>
      </bottom>
      <diagonal/>
    </border>
    <border>
      <left style="thin">
        <color indexed="27"/>
      </left>
      <right style="thin">
        <color indexed="26"/>
      </right>
      <top style="thin">
        <color indexed="25"/>
      </top>
      <bottom style="medium">
        <color indexed="26"/>
      </bottom>
      <diagonal/>
    </border>
    <border>
      <left style="thin">
        <color indexed="26"/>
      </left>
      <right style="thin">
        <color indexed="25"/>
      </right>
      <top style="thin">
        <color indexed="25"/>
      </top>
      <bottom style="medium">
        <color indexed="26"/>
      </bottom>
      <diagonal/>
    </border>
    <border>
      <left style="thin">
        <color indexed="25"/>
      </left>
      <right style="thin">
        <color indexed="26"/>
      </right>
      <top style="medium">
        <color indexed="26"/>
      </top>
      <bottom style="thin">
        <color indexed="26"/>
      </bottom>
      <diagonal/>
    </border>
    <border>
      <left style="thin">
        <color indexed="25"/>
      </left>
      <right style="thin">
        <color indexed="13"/>
      </right>
      <top style="thin">
        <color indexed="26"/>
      </top>
      <bottom style="thin">
        <color indexed="25"/>
      </bottom>
      <diagonal/>
    </border>
    <border>
      <left style="thin">
        <color indexed="13"/>
      </left>
      <right style="thin">
        <color indexed="28"/>
      </right>
      <top style="thin">
        <color indexed="26"/>
      </top>
      <bottom style="thin">
        <color indexed="25"/>
      </bottom>
      <diagonal/>
    </border>
    <border>
      <left style="thin">
        <color indexed="28"/>
      </left>
      <right style="thin">
        <color indexed="28"/>
      </right>
      <top style="thin">
        <color indexed="26"/>
      </top>
      <bottom style="thin">
        <color indexed="25"/>
      </bottom>
      <diagonal/>
    </border>
    <border>
      <left style="thin">
        <color indexed="28"/>
      </left>
      <right style="thin">
        <color indexed="13"/>
      </right>
      <top style="thin">
        <color indexed="26"/>
      </top>
      <bottom style="thin">
        <color indexed="25"/>
      </bottom>
      <diagonal/>
    </border>
    <border>
      <left style="thin">
        <color indexed="13"/>
      </left>
      <right style="thin">
        <color indexed="25"/>
      </right>
      <top style="thin">
        <color indexed="26"/>
      </top>
      <bottom style="thin">
        <color indexed="25"/>
      </bottom>
      <diagonal/>
    </border>
    <border>
      <left style="thin">
        <color indexed="25"/>
      </left>
      <right style="thin">
        <color indexed="13"/>
      </right>
      <top style="thin">
        <color indexed="25"/>
      </top>
      <bottom style="thin">
        <color indexed="25"/>
      </bottom>
      <diagonal/>
    </border>
    <border>
      <left style="thin">
        <color indexed="13"/>
      </left>
      <right style="thin">
        <color indexed="28"/>
      </right>
      <top style="thin">
        <color indexed="25"/>
      </top>
      <bottom style="thin">
        <color indexed="25"/>
      </bottom>
      <diagonal/>
    </border>
    <border>
      <left style="thin">
        <color indexed="28"/>
      </left>
      <right style="thin">
        <color indexed="28"/>
      </right>
      <top style="thin">
        <color indexed="25"/>
      </top>
      <bottom style="thin">
        <color indexed="25"/>
      </bottom>
      <diagonal/>
    </border>
    <border>
      <left style="thin">
        <color indexed="28"/>
      </left>
      <right style="thin">
        <color indexed="13"/>
      </right>
      <top style="thin">
        <color indexed="25"/>
      </top>
      <bottom style="thin">
        <color indexed="25"/>
      </bottom>
      <diagonal/>
    </border>
    <border>
      <left style="thin">
        <color indexed="13"/>
      </left>
      <right style="thin">
        <color indexed="25"/>
      </right>
      <top style="thin">
        <color indexed="25"/>
      </top>
      <bottom style="thin">
        <color indexed="25"/>
      </bottom>
      <diagonal/>
    </border>
    <border>
      <left style="thin">
        <color indexed="25"/>
      </left>
      <right style="thin">
        <color indexed="13"/>
      </right>
      <top style="thin">
        <color indexed="25"/>
      </top>
      <bottom style="thin">
        <color indexed="26"/>
      </bottom>
      <diagonal/>
    </border>
    <border>
      <left style="thin">
        <color indexed="13"/>
      </left>
      <right style="thin">
        <color indexed="28"/>
      </right>
      <top style="thin">
        <color indexed="25"/>
      </top>
      <bottom style="thin">
        <color indexed="26"/>
      </bottom>
      <diagonal/>
    </border>
    <border>
      <left style="thin">
        <color indexed="28"/>
      </left>
      <right style="thin">
        <color indexed="28"/>
      </right>
      <top style="thin">
        <color indexed="25"/>
      </top>
      <bottom style="thin">
        <color indexed="26"/>
      </bottom>
      <diagonal/>
    </border>
    <border>
      <left style="thin">
        <color indexed="28"/>
      </left>
      <right style="thin">
        <color indexed="13"/>
      </right>
      <top style="thin">
        <color indexed="25"/>
      </top>
      <bottom style="thin">
        <color indexed="26"/>
      </bottom>
      <diagonal/>
    </border>
    <border>
      <left style="thin">
        <color indexed="13"/>
      </left>
      <right style="thin">
        <color indexed="25"/>
      </right>
      <top style="thin">
        <color indexed="25"/>
      </top>
      <bottom style="thin">
        <color indexed="26"/>
      </bottom>
      <diagonal/>
    </border>
    <border>
      <left style="thin">
        <color indexed="25"/>
      </left>
      <right style="thin">
        <color indexed="29"/>
      </right>
      <top style="thin">
        <color indexed="26"/>
      </top>
      <bottom style="thin">
        <color indexed="25"/>
      </bottom>
      <diagonal/>
    </border>
    <border>
      <left style="thin">
        <color indexed="29"/>
      </left>
      <right style="thin">
        <color indexed="30"/>
      </right>
      <top style="thin">
        <color indexed="26"/>
      </top>
      <bottom style="thin">
        <color indexed="25"/>
      </bottom>
      <diagonal/>
    </border>
    <border>
      <left style="thin">
        <color indexed="30"/>
      </left>
      <right style="thin">
        <color indexed="30"/>
      </right>
      <top style="thin">
        <color indexed="26"/>
      </top>
      <bottom style="thin">
        <color indexed="25"/>
      </bottom>
      <diagonal/>
    </border>
    <border>
      <left style="thin">
        <color indexed="30"/>
      </left>
      <right style="thin">
        <color indexed="29"/>
      </right>
      <top style="thin">
        <color indexed="26"/>
      </top>
      <bottom style="thin">
        <color indexed="25"/>
      </bottom>
      <diagonal/>
    </border>
    <border>
      <left style="thin">
        <color indexed="29"/>
      </left>
      <right style="thin">
        <color indexed="25"/>
      </right>
      <top style="thin">
        <color indexed="26"/>
      </top>
      <bottom style="thin">
        <color indexed="25"/>
      </bottom>
      <diagonal/>
    </border>
    <border>
      <left/>
      <right/>
      <top style="thin">
        <color indexed="13"/>
      </top>
      <bottom style="thin">
        <color indexed="13"/>
      </bottom>
      <diagonal/>
    </border>
    <border>
      <left/>
      <right/>
      <top style="thin">
        <color indexed="13"/>
      </top>
      <bottom style="thin">
        <color indexed="26"/>
      </bottom>
      <diagonal/>
    </border>
    <border>
      <left style="thin">
        <color indexed="13"/>
      </left>
      <right style="thin">
        <color indexed="13"/>
      </right>
      <top style="thin">
        <color indexed="26"/>
      </top>
      <bottom style="thin">
        <color indexed="13"/>
      </bottom>
      <diagonal/>
    </border>
    <border>
      <left style="thin">
        <color indexed="13"/>
      </left>
      <right/>
      <top style="thin">
        <color indexed="13"/>
      </top>
      <bottom style="thin">
        <color indexed="13"/>
      </bottom>
      <diagonal/>
    </border>
    <border>
      <left/>
      <right/>
      <top/>
      <bottom style="thin">
        <color indexed="26"/>
      </bottom>
      <diagonal/>
    </border>
    <border>
      <left/>
      <right style="thin">
        <color indexed="13"/>
      </right>
      <top/>
      <bottom style="thin">
        <color indexed="26"/>
      </bottom>
      <diagonal/>
    </border>
    <border>
      <left style="thin">
        <color indexed="13"/>
      </left>
      <right style="thin">
        <color indexed="13"/>
      </right>
      <top style="thin">
        <color indexed="13"/>
      </top>
      <bottom style="thin">
        <color indexed="26"/>
      </bottom>
      <diagonal/>
    </border>
    <border>
      <left/>
      <right/>
      <top style="thin">
        <color indexed="26"/>
      </top>
      <bottom/>
      <diagonal/>
    </border>
    <border>
      <left/>
      <right style="thin">
        <color indexed="13"/>
      </right>
      <top style="thin">
        <color indexed="26"/>
      </top>
      <bottom/>
      <diagonal/>
    </border>
    <border>
      <left style="thin">
        <color indexed="13"/>
      </left>
      <right style="thin">
        <color indexed="13"/>
      </right>
      <top style="thin">
        <color indexed="13"/>
      </top>
      <bottom style="thin">
        <color indexed="32"/>
      </bottom>
      <diagonal/>
    </border>
    <border>
      <left style="thin">
        <color indexed="13"/>
      </left>
      <right style="thin">
        <color indexed="13"/>
      </right>
      <top style="thin">
        <color indexed="13"/>
      </top>
      <bottom style="thin">
        <color indexed="37"/>
      </bottom>
      <diagonal/>
    </border>
    <border>
      <left style="thin">
        <color indexed="13"/>
      </left>
      <right style="thin">
        <color indexed="13"/>
      </right>
      <top style="thin">
        <color indexed="13"/>
      </top>
      <bottom style="thin">
        <color indexed="38"/>
      </bottom>
      <diagonal/>
    </border>
    <border>
      <left style="thin">
        <color indexed="13"/>
      </left>
      <right style="thin">
        <color indexed="32"/>
      </right>
      <top style="thin">
        <color indexed="13"/>
      </top>
      <bottom style="thin">
        <color indexed="13"/>
      </bottom>
      <diagonal/>
    </border>
    <border>
      <left style="thin">
        <color indexed="32"/>
      </left>
      <right style="thin">
        <color indexed="32"/>
      </right>
      <top style="thin">
        <color indexed="32"/>
      </top>
      <bottom style="thin">
        <color indexed="32"/>
      </bottom>
      <diagonal/>
    </border>
    <border>
      <left style="thin">
        <color indexed="32"/>
      </left>
      <right style="thin">
        <color indexed="37"/>
      </right>
      <top style="thin">
        <color indexed="13"/>
      </top>
      <bottom style="thin">
        <color indexed="13"/>
      </bottom>
      <diagonal/>
    </border>
    <border>
      <left style="thin">
        <color indexed="37"/>
      </left>
      <right style="thin">
        <color indexed="37"/>
      </right>
      <top style="thin">
        <color indexed="37"/>
      </top>
      <bottom style="thin">
        <color indexed="37"/>
      </bottom>
      <diagonal/>
    </border>
    <border>
      <left style="thin">
        <color indexed="37"/>
      </left>
      <right style="thin">
        <color indexed="38"/>
      </right>
      <top style="thin">
        <color indexed="13"/>
      </top>
      <bottom style="thin">
        <color indexed="13"/>
      </bottom>
      <diagonal/>
    </border>
    <border>
      <left style="thin">
        <color indexed="38"/>
      </left>
      <right style="thin">
        <color indexed="38"/>
      </right>
      <top style="thin">
        <color indexed="38"/>
      </top>
      <bottom style="thin">
        <color indexed="38"/>
      </bottom>
      <diagonal/>
    </border>
    <border>
      <left style="thin">
        <color indexed="38"/>
      </left>
      <right style="thin">
        <color indexed="13"/>
      </right>
      <top style="thin">
        <color indexed="13"/>
      </top>
      <bottom style="thin">
        <color indexed="13"/>
      </bottom>
      <diagonal/>
    </border>
    <border>
      <left style="thin">
        <color indexed="37"/>
      </left>
      <right style="thin">
        <color indexed="13"/>
      </right>
      <top style="thin">
        <color indexed="13"/>
      </top>
      <bottom style="thin">
        <color indexed="13"/>
      </bottom>
      <diagonal/>
    </border>
    <border>
      <left style="thin">
        <color indexed="13"/>
      </left>
      <right style="thin">
        <color indexed="13"/>
      </right>
      <top style="thin">
        <color indexed="38"/>
      </top>
      <bottom style="thin">
        <color indexed="13"/>
      </bottom>
      <diagonal/>
    </border>
    <border>
      <left style="thin">
        <color indexed="13"/>
      </left>
      <right style="thin">
        <color indexed="13"/>
      </right>
      <top style="thin">
        <color indexed="32"/>
      </top>
      <bottom style="thin">
        <color indexed="13"/>
      </bottom>
      <diagonal/>
    </border>
    <border>
      <left style="thin">
        <color indexed="13"/>
      </left>
      <right style="thin">
        <color indexed="37"/>
      </right>
      <top style="thin">
        <color indexed="13"/>
      </top>
      <bottom style="thin">
        <color indexed="13"/>
      </bottom>
      <diagonal/>
    </border>
    <border>
      <left style="thin">
        <color indexed="13"/>
      </left>
      <right style="thin">
        <color indexed="13"/>
      </right>
      <top style="thin">
        <color indexed="37"/>
      </top>
      <bottom style="thin">
        <color indexed="13"/>
      </bottom>
      <diagonal/>
    </border>
  </borders>
  <cellStyleXfs count="1">
    <xf numFmtId="0" fontId="0" fillId="0" borderId="0" applyNumberFormat="0" applyFill="0" applyBorder="0" applyProtection="0">
      <alignment horizontal="left" vertical="top"/>
    </xf>
  </cellStyleXfs>
  <cellXfs count="409">
    <xf numFmtId="0" fontId="0" fillId="0" borderId="0" xfId="0">
      <alignment horizontal="left" vertical="top"/>
    </xf>
    <xf numFmtId="0" fontId="2" fillId="0" borderId="0" xfId="0" applyFont="1">
      <alignment horizontal="left" vertical="top"/>
    </xf>
    <xf numFmtId="0" fontId="1" fillId="2" borderId="0" xfId="0" applyFont="1" applyFill="1">
      <alignment horizontal="left" vertical="top"/>
    </xf>
    <xf numFmtId="0" fontId="1" fillId="3" borderId="0" xfId="0" applyFont="1" applyFill="1">
      <alignment horizontal="left" vertical="top"/>
    </xf>
    <xf numFmtId="0" fontId="3" fillId="3" borderId="0" xfId="0" applyFont="1" applyFill="1">
      <alignment horizontal="left" vertical="top"/>
    </xf>
    <xf numFmtId="0" fontId="0" fillId="0" borderId="0" xfId="0" applyNumberFormat="1">
      <alignment horizontal="left" vertical="top"/>
    </xf>
    <xf numFmtId="0" fontId="0" fillId="0" borderId="1" xfId="0" applyBorder="1">
      <alignment horizontal="left" vertical="top"/>
    </xf>
    <xf numFmtId="0" fontId="0" fillId="0" borderId="7" xfId="0" applyBorder="1">
      <alignment horizontal="left" vertical="top"/>
    </xf>
    <xf numFmtId="49" fontId="12" fillId="5" borderId="14" xfId="0" applyNumberFormat="1" applyFont="1" applyFill="1" applyBorder="1" applyAlignment="1">
      <alignment horizontal="left" vertical="top" wrapText="1"/>
    </xf>
    <xf numFmtId="0" fontId="0" fillId="4" borderId="8" xfId="0" applyFill="1" applyBorder="1" applyAlignment="1">
      <alignment horizontal="left" wrapText="1"/>
    </xf>
    <xf numFmtId="0" fontId="0" fillId="7" borderId="28" xfId="0" applyFill="1" applyBorder="1" applyAlignment="1">
      <alignment horizontal="left" vertical="top" wrapText="1"/>
    </xf>
    <xf numFmtId="49" fontId="0" fillId="4" borderId="29" xfId="0" applyNumberFormat="1" applyFill="1" applyBorder="1" applyAlignment="1">
      <alignment horizontal="left" vertical="top" wrapText="1"/>
    </xf>
    <xf numFmtId="49" fontId="0" fillId="4" borderId="16" xfId="0" applyNumberFormat="1" applyFill="1" applyBorder="1" applyAlignment="1">
      <alignment horizontal="left" vertical="top" wrapText="1"/>
    </xf>
    <xf numFmtId="49" fontId="0" fillId="4" borderId="29" xfId="0" applyNumberFormat="1" applyFill="1" applyBorder="1" applyAlignment="1">
      <alignment horizontal="right" vertical="top" wrapText="1" indent="12"/>
    </xf>
    <xf numFmtId="0" fontId="0" fillId="0" borderId="13" xfId="0" applyBorder="1">
      <alignment horizontal="left" vertical="top"/>
    </xf>
    <xf numFmtId="49" fontId="22" fillId="9" borderId="35" xfId="0" applyNumberFormat="1" applyFont="1" applyFill="1" applyBorder="1">
      <alignment horizontal="left" vertical="top"/>
    </xf>
    <xf numFmtId="49" fontId="22" fillId="9" borderId="36" xfId="0" applyNumberFormat="1" applyFont="1" applyFill="1" applyBorder="1">
      <alignment horizontal="left" vertical="top"/>
    </xf>
    <xf numFmtId="49" fontId="22" fillId="9" borderId="37" xfId="0" applyNumberFormat="1" applyFont="1" applyFill="1" applyBorder="1">
      <alignment horizontal="left" vertical="top"/>
    </xf>
    <xf numFmtId="0" fontId="0" fillId="4" borderId="38" xfId="0" applyFill="1" applyBorder="1">
      <alignment horizontal="left" vertical="top"/>
    </xf>
    <xf numFmtId="49" fontId="0" fillId="10" borderId="35" xfId="0" applyNumberFormat="1" applyFill="1" applyBorder="1">
      <alignment horizontal="left" vertical="top"/>
    </xf>
    <xf numFmtId="49" fontId="0" fillId="10" borderId="36" xfId="0" applyNumberFormat="1" applyFill="1" applyBorder="1">
      <alignment horizontal="left" vertical="top"/>
    </xf>
    <xf numFmtId="164" fontId="0" fillId="10" borderId="36" xfId="0" applyNumberFormat="1" applyFill="1" applyBorder="1">
      <alignment horizontal="left" vertical="top"/>
    </xf>
    <xf numFmtId="0" fontId="0" fillId="10" borderId="37" xfId="0" applyFill="1" applyBorder="1">
      <alignment horizontal="left" vertical="top"/>
    </xf>
    <xf numFmtId="49" fontId="0" fillId="4" borderId="39" xfId="0" applyNumberFormat="1" applyFill="1" applyBorder="1">
      <alignment horizontal="left" vertical="top"/>
    </xf>
    <xf numFmtId="49" fontId="0" fillId="4" borderId="40" xfId="0" applyNumberFormat="1" applyFill="1" applyBorder="1">
      <alignment horizontal="left" vertical="top"/>
    </xf>
    <xf numFmtId="164" fontId="0" fillId="4" borderId="40" xfId="0" applyNumberFormat="1" applyFill="1" applyBorder="1">
      <alignment horizontal="left" vertical="top"/>
    </xf>
    <xf numFmtId="0" fontId="0" fillId="4" borderId="41" xfId="0" applyFill="1" applyBorder="1">
      <alignment horizontal="left" vertical="top"/>
    </xf>
    <xf numFmtId="49" fontId="0" fillId="10" borderId="37" xfId="0" applyNumberFormat="1" applyFill="1" applyBorder="1">
      <alignment horizontal="left" vertical="top"/>
    </xf>
    <xf numFmtId="49" fontId="0" fillId="4" borderId="41" xfId="0" applyNumberFormat="1" applyFill="1" applyBorder="1">
      <alignment horizontal="left" vertical="top"/>
    </xf>
    <xf numFmtId="0" fontId="0" fillId="4" borderId="42" xfId="0" applyFill="1" applyBorder="1">
      <alignment horizontal="left" vertical="top"/>
    </xf>
    <xf numFmtId="164" fontId="0" fillId="4" borderId="42" xfId="0" applyNumberFormat="1" applyFill="1" applyBorder="1">
      <alignment horizontal="left" vertical="top"/>
    </xf>
    <xf numFmtId="0" fontId="0" fillId="4" borderId="1" xfId="0" applyFill="1" applyBorder="1">
      <alignment horizontal="left" vertical="top"/>
    </xf>
    <xf numFmtId="49" fontId="22" fillId="11" borderId="43" xfId="0" applyNumberFormat="1" applyFont="1" applyFill="1" applyBorder="1">
      <alignment horizontal="left" vertical="top"/>
    </xf>
    <xf numFmtId="49" fontId="22" fillId="11" borderId="44" xfId="0" applyNumberFormat="1" applyFont="1" applyFill="1" applyBorder="1">
      <alignment horizontal="left" vertical="top"/>
    </xf>
    <xf numFmtId="49" fontId="22" fillId="11" borderId="45" xfId="0" applyNumberFormat="1" applyFont="1" applyFill="1" applyBorder="1">
      <alignment horizontal="left" vertical="top"/>
    </xf>
    <xf numFmtId="0" fontId="0" fillId="4" borderId="46" xfId="0" applyFill="1" applyBorder="1">
      <alignment horizontal="left" vertical="top"/>
    </xf>
    <xf numFmtId="49" fontId="0" fillId="12" borderId="43" xfId="0" applyNumberFormat="1" applyFill="1" applyBorder="1">
      <alignment horizontal="left" vertical="top"/>
    </xf>
    <xf numFmtId="49" fontId="0" fillId="12" borderId="44" xfId="0" applyNumberFormat="1" applyFill="1" applyBorder="1">
      <alignment horizontal="left" vertical="top"/>
    </xf>
    <xf numFmtId="164" fontId="0" fillId="12" borderId="44" xfId="0" applyNumberFormat="1" applyFill="1" applyBorder="1">
      <alignment horizontal="left" vertical="top"/>
    </xf>
    <xf numFmtId="0" fontId="0" fillId="12" borderId="45" xfId="0" applyFill="1" applyBorder="1">
      <alignment horizontal="left" vertical="top"/>
    </xf>
    <xf numFmtId="49" fontId="0" fillId="4" borderId="47" xfId="0" applyNumberFormat="1" applyFill="1" applyBorder="1">
      <alignment horizontal="left" vertical="top"/>
    </xf>
    <xf numFmtId="49" fontId="0" fillId="4" borderId="48" xfId="0" applyNumberFormat="1" applyFill="1" applyBorder="1">
      <alignment horizontal="left" vertical="top"/>
    </xf>
    <xf numFmtId="49" fontId="0" fillId="4" borderId="49" xfId="0" applyNumberFormat="1" applyFill="1" applyBorder="1">
      <alignment horizontal="left" vertical="top"/>
    </xf>
    <xf numFmtId="164" fontId="0" fillId="13" borderId="44" xfId="0" applyNumberFormat="1" applyFill="1" applyBorder="1">
      <alignment horizontal="left" vertical="top"/>
    </xf>
    <xf numFmtId="49" fontId="0" fillId="4" borderId="44" xfId="0" applyNumberFormat="1" applyFill="1" applyBorder="1">
      <alignment horizontal="left" vertical="top"/>
    </xf>
    <xf numFmtId="49" fontId="0" fillId="13" borderId="45" xfId="0" applyNumberFormat="1" applyFill="1" applyBorder="1">
      <alignment horizontal="left" vertical="top"/>
    </xf>
    <xf numFmtId="164" fontId="0" fillId="4" borderId="48" xfId="0" applyNumberFormat="1" applyFill="1" applyBorder="1">
      <alignment horizontal="left" vertical="top"/>
    </xf>
    <xf numFmtId="0" fontId="0" fillId="4" borderId="50" xfId="0" applyFill="1" applyBorder="1">
      <alignment horizontal="left" vertical="top"/>
    </xf>
    <xf numFmtId="49" fontId="0" fillId="4" borderId="50" xfId="0" applyNumberFormat="1" applyFill="1" applyBorder="1">
      <alignment horizontal="left" vertical="top"/>
    </xf>
    <xf numFmtId="49" fontId="0" fillId="12" borderId="45" xfId="0" applyNumberFormat="1" applyFill="1" applyBorder="1">
      <alignment horizontal="left" vertical="top"/>
    </xf>
    <xf numFmtId="0" fontId="0" fillId="4" borderId="51" xfId="0" applyFill="1" applyBorder="1">
      <alignment horizontal="left" vertical="top"/>
    </xf>
    <xf numFmtId="164" fontId="0" fillId="4" borderId="51" xfId="0" applyNumberFormat="1" applyFill="1" applyBorder="1">
      <alignment horizontal="left" vertical="top"/>
    </xf>
    <xf numFmtId="49" fontId="24" fillId="14" borderId="52" xfId="0" applyNumberFormat="1" applyFont="1" applyFill="1" applyBorder="1">
      <alignment horizontal="left" vertical="top"/>
    </xf>
    <xf numFmtId="49" fontId="24" fillId="14" borderId="53" xfId="0" pivotButton="1" applyNumberFormat="1" applyFont="1" applyFill="1" applyBorder="1">
      <alignment horizontal="left" vertical="top"/>
    </xf>
    <xf numFmtId="49" fontId="24" fillId="14" borderId="53" xfId="0" applyNumberFormat="1" applyFont="1" applyFill="1" applyBorder="1">
      <alignment horizontal="left" vertical="top"/>
    </xf>
    <xf numFmtId="49" fontId="24" fillId="14" borderId="54" xfId="0" applyNumberFormat="1" applyFont="1" applyFill="1" applyBorder="1">
      <alignment horizontal="left" vertical="top"/>
    </xf>
    <xf numFmtId="49" fontId="24" fillId="14" borderId="55" xfId="0" applyNumberFormat="1" applyFont="1" applyFill="1" applyBorder="1">
      <alignment horizontal="left" vertical="top"/>
    </xf>
    <xf numFmtId="49" fontId="24" fillId="14" borderId="56" xfId="0" applyNumberFormat="1" applyFont="1" applyFill="1" applyBorder="1">
      <alignment horizontal="left" vertical="top"/>
    </xf>
    <xf numFmtId="49" fontId="24" fillId="14" borderId="57" xfId="0" applyNumberFormat="1" applyFont="1" applyFill="1" applyBorder="1">
      <alignment horizontal="left" vertical="top"/>
    </xf>
    <xf numFmtId="49" fontId="24" fillId="4" borderId="58" xfId="0" applyNumberFormat="1" applyFont="1" applyFill="1" applyBorder="1">
      <alignment horizontal="left" vertical="top"/>
    </xf>
    <xf numFmtId="164" fontId="0" fillId="4" borderId="59" xfId="0" applyNumberFormat="1" applyFill="1" applyBorder="1">
      <alignment horizontal="left" vertical="top"/>
    </xf>
    <xf numFmtId="0" fontId="0" fillId="4" borderId="60" xfId="0" applyNumberFormat="1" applyFill="1" applyBorder="1">
      <alignment horizontal="left" vertical="top"/>
    </xf>
    <xf numFmtId="164" fontId="0" fillId="4" borderId="60" xfId="0" applyNumberFormat="1" applyFill="1" applyBorder="1">
      <alignment horizontal="left" vertical="top"/>
    </xf>
    <xf numFmtId="164" fontId="0" fillId="4" borderId="61" xfId="0" applyNumberFormat="1" applyFill="1" applyBorder="1">
      <alignment horizontal="left" vertical="top"/>
    </xf>
    <xf numFmtId="164" fontId="24" fillId="4" borderId="62" xfId="0" applyNumberFormat="1" applyFont="1" applyFill="1" applyBorder="1">
      <alignment horizontal="left" vertical="top"/>
    </xf>
    <xf numFmtId="49" fontId="24" fillId="4" borderId="63" xfId="0" applyNumberFormat="1" applyFont="1" applyFill="1" applyBorder="1">
      <alignment horizontal="left" vertical="top"/>
    </xf>
    <xf numFmtId="0" fontId="0" fillId="4" borderId="64" xfId="0" applyNumberFormat="1" applyFill="1" applyBorder="1">
      <alignment horizontal="left" vertical="top"/>
    </xf>
    <xf numFmtId="0" fontId="0" fillId="4" borderId="65" xfId="0" applyNumberFormat="1" applyFill="1" applyBorder="1">
      <alignment horizontal="left" vertical="top"/>
    </xf>
    <xf numFmtId="164" fontId="0" fillId="4" borderId="66" xfId="0" applyNumberFormat="1" applyFill="1" applyBorder="1">
      <alignment horizontal="left" vertical="top"/>
    </xf>
    <xf numFmtId="164" fontId="24" fillId="4" borderId="67" xfId="0" applyNumberFormat="1" applyFont="1" applyFill="1" applyBorder="1">
      <alignment horizontal="left" vertical="top"/>
    </xf>
    <xf numFmtId="164" fontId="0" fillId="4" borderId="64" xfId="0" applyNumberFormat="1" applyFill="1" applyBorder="1">
      <alignment horizontal="left" vertical="top"/>
    </xf>
    <xf numFmtId="164" fontId="0" fillId="4" borderId="65" xfId="0" applyNumberFormat="1" applyFill="1" applyBorder="1">
      <alignment horizontal="left" vertical="top"/>
    </xf>
    <xf numFmtId="49" fontId="24" fillId="4" borderId="68" xfId="0" applyNumberFormat="1" applyFont="1" applyFill="1" applyBorder="1">
      <alignment horizontal="left" vertical="top"/>
    </xf>
    <xf numFmtId="164" fontId="0" fillId="4" borderId="69" xfId="0" applyNumberFormat="1" applyFill="1" applyBorder="1">
      <alignment horizontal="left" vertical="top"/>
    </xf>
    <xf numFmtId="164" fontId="0" fillId="4" borderId="70" xfId="0" applyNumberFormat="1" applyFill="1" applyBorder="1">
      <alignment horizontal="left" vertical="top"/>
    </xf>
    <xf numFmtId="164" fontId="0" fillId="4" borderId="71" xfId="0" applyNumberFormat="1" applyFill="1" applyBorder="1">
      <alignment horizontal="left" vertical="top"/>
    </xf>
    <xf numFmtId="164" fontId="24" fillId="4" borderId="72" xfId="0" applyNumberFormat="1" applyFont="1" applyFill="1" applyBorder="1">
      <alignment horizontal="left" vertical="top"/>
    </xf>
    <xf numFmtId="49" fontId="24" fillId="14" borderId="73" xfId="0" applyNumberFormat="1" applyFont="1" applyFill="1" applyBorder="1">
      <alignment horizontal="left" vertical="top"/>
    </xf>
    <xf numFmtId="164" fontId="24" fillId="14" borderId="74" xfId="0" applyNumberFormat="1" applyFont="1" applyFill="1" applyBorder="1">
      <alignment horizontal="left" vertical="top"/>
    </xf>
    <xf numFmtId="164" fontId="24" fillId="14" borderId="75" xfId="0" applyNumberFormat="1" applyFont="1" applyFill="1" applyBorder="1">
      <alignment horizontal="left" vertical="top"/>
    </xf>
    <xf numFmtId="164" fontId="24" fillId="14" borderId="76" xfId="0" applyNumberFormat="1" applyFont="1" applyFill="1" applyBorder="1">
      <alignment horizontal="left" vertical="top"/>
    </xf>
    <xf numFmtId="164" fontId="24" fillId="14" borderId="77" xfId="0" applyNumberFormat="1" applyFont="1" applyFill="1" applyBorder="1">
      <alignment horizontal="left" vertical="top"/>
    </xf>
    <xf numFmtId="0" fontId="0" fillId="4" borderId="6" xfId="0" applyFill="1" applyBorder="1">
      <alignment horizontal="left" vertical="top"/>
    </xf>
    <xf numFmtId="0" fontId="0" fillId="4" borderId="78" xfId="0" applyFill="1" applyBorder="1">
      <alignment horizontal="left" vertical="top"/>
    </xf>
    <xf numFmtId="0" fontId="0" fillId="4" borderId="79" xfId="0" applyFill="1" applyBorder="1">
      <alignment horizontal="left" vertical="top"/>
    </xf>
    <xf numFmtId="49" fontId="23" fillId="15" borderId="4" xfId="0" applyNumberFormat="1" applyFont="1" applyFill="1" applyBorder="1">
      <alignment horizontal="left" vertical="top"/>
    </xf>
    <xf numFmtId="0" fontId="0" fillId="4" borderId="5" xfId="0" applyFill="1" applyBorder="1">
      <alignment horizontal="left" vertical="top"/>
    </xf>
    <xf numFmtId="0" fontId="0" fillId="4" borderId="80" xfId="0" applyFill="1" applyBorder="1">
      <alignment horizontal="left" vertical="top"/>
    </xf>
    <xf numFmtId="0" fontId="0" fillId="4" borderId="7" xfId="0" applyFill="1" applyBorder="1">
      <alignment horizontal="left" vertical="top"/>
    </xf>
    <xf numFmtId="49" fontId="0" fillId="4" borderId="1" xfId="0" applyNumberFormat="1" applyFill="1" applyBorder="1">
      <alignment horizontal="left" vertical="top"/>
    </xf>
    <xf numFmtId="0" fontId="0" fillId="4" borderId="1" xfId="0" applyNumberFormat="1" applyFill="1" applyBorder="1">
      <alignment horizontal="left" vertical="top"/>
    </xf>
    <xf numFmtId="0" fontId="0" fillId="4" borderId="2" xfId="0" applyFill="1" applyBorder="1">
      <alignment horizontal="left" vertical="top"/>
    </xf>
    <xf numFmtId="0" fontId="0" fillId="4" borderId="81" xfId="0" applyFill="1" applyBorder="1">
      <alignment horizontal="left" vertical="top"/>
    </xf>
    <xf numFmtId="49" fontId="22" fillId="16" borderId="82" xfId="0" applyNumberFormat="1" applyFont="1" applyFill="1" applyBorder="1">
      <alignment horizontal="left" vertical="top"/>
    </xf>
    <xf numFmtId="49" fontId="22" fillId="16" borderId="83" xfId="0" applyNumberFormat="1" applyFont="1" applyFill="1" applyBorder="1">
      <alignment horizontal="left" vertical="top"/>
    </xf>
    <xf numFmtId="49" fontId="0" fillId="4" borderId="80" xfId="0" applyNumberFormat="1" applyFill="1" applyBorder="1">
      <alignment horizontal="left" vertical="top"/>
    </xf>
    <xf numFmtId="164" fontId="0" fillId="4" borderId="1" xfId="0" applyNumberFormat="1" applyFill="1" applyBorder="1">
      <alignment horizontal="left" vertical="top"/>
    </xf>
    <xf numFmtId="49" fontId="0" fillId="4" borderId="84" xfId="0" applyNumberFormat="1" applyFill="1" applyBorder="1">
      <alignment horizontal="left" vertical="top"/>
    </xf>
    <xf numFmtId="164" fontId="0" fillId="4" borderId="84" xfId="0" applyNumberFormat="1" applyFill="1" applyBorder="1">
      <alignment horizontal="left" vertical="top"/>
    </xf>
    <xf numFmtId="49" fontId="22" fillId="16" borderId="85" xfId="0" applyNumberFormat="1" applyFont="1" applyFill="1" applyBorder="1">
      <alignment horizontal="left" vertical="top"/>
    </xf>
    <xf numFmtId="164" fontId="22" fillId="16" borderId="85" xfId="0" applyNumberFormat="1" applyFont="1" applyFill="1" applyBorder="1">
      <alignment horizontal="left" vertical="top"/>
    </xf>
    <xf numFmtId="164" fontId="22" fillId="16" borderId="86" xfId="0" applyNumberFormat="1" applyFont="1" applyFill="1" applyBorder="1">
      <alignment horizontal="left" vertical="top"/>
    </xf>
    <xf numFmtId="49" fontId="0" fillId="4" borderId="7" xfId="0" applyNumberFormat="1" applyFill="1" applyBorder="1">
      <alignment horizontal="left" vertical="top"/>
    </xf>
    <xf numFmtId="164" fontId="0" fillId="4" borderId="7" xfId="0" applyNumberFormat="1" applyFill="1" applyBorder="1">
      <alignment horizontal="left" vertical="top"/>
    </xf>
    <xf numFmtId="0" fontId="0" fillId="4" borderId="87" xfId="0" applyFill="1" applyBorder="1">
      <alignment horizontal="left" vertical="top"/>
    </xf>
    <xf numFmtId="0" fontId="0" fillId="4" borderId="88" xfId="0" applyFill="1" applyBorder="1">
      <alignment horizontal="left" vertical="top"/>
    </xf>
    <xf numFmtId="0" fontId="0" fillId="4" borderId="89" xfId="0" applyFill="1" applyBorder="1">
      <alignment horizontal="left" vertical="top"/>
    </xf>
    <xf numFmtId="0" fontId="0" fillId="4" borderId="90" xfId="0" applyFill="1" applyBorder="1">
      <alignment horizontal="left" vertical="top"/>
    </xf>
    <xf numFmtId="49" fontId="22" fillId="17" borderId="91" xfId="0" applyNumberFormat="1" applyFont="1" applyFill="1" applyBorder="1">
      <alignment horizontal="left" vertical="top"/>
    </xf>
    <xf numFmtId="0" fontId="0" fillId="4" borderId="92" xfId="0" applyFill="1" applyBorder="1">
      <alignment horizontal="left" vertical="top"/>
    </xf>
    <xf numFmtId="49" fontId="22" fillId="18" borderId="93" xfId="0" applyNumberFormat="1" applyFont="1" applyFill="1" applyBorder="1">
      <alignment horizontal="left" vertical="top"/>
    </xf>
    <xf numFmtId="0" fontId="0" fillId="4" borderId="94" xfId="0" applyFill="1" applyBorder="1">
      <alignment horizontal="left" vertical="top"/>
    </xf>
    <xf numFmtId="49" fontId="22" fillId="19" borderId="95" xfId="0" applyNumberFormat="1" applyFont="1" applyFill="1" applyBorder="1">
      <alignment horizontal="left" vertical="top"/>
    </xf>
    <xf numFmtId="0" fontId="0" fillId="4" borderId="96" xfId="0" applyFill="1" applyBorder="1">
      <alignment horizontal="left" vertical="top"/>
    </xf>
    <xf numFmtId="49" fontId="0" fillId="4" borderId="91" xfId="0" applyNumberFormat="1" applyFill="1" applyBorder="1">
      <alignment horizontal="left" vertical="top"/>
    </xf>
    <xf numFmtId="49" fontId="0" fillId="4" borderId="93" xfId="0" applyNumberFormat="1" applyFill="1" applyBorder="1">
      <alignment horizontal="left" vertical="top"/>
    </xf>
    <xf numFmtId="49" fontId="0" fillId="4" borderId="95" xfId="0" applyNumberFormat="1" applyFill="1" applyBorder="1">
      <alignment horizontal="left" vertical="top"/>
    </xf>
    <xf numFmtId="0" fontId="0" fillId="4" borderId="97" xfId="0" applyFill="1" applyBorder="1">
      <alignment horizontal="left" vertical="top"/>
    </xf>
    <xf numFmtId="0" fontId="0" fillId="4" borderId="98" xfId="0" applyFill="1" applyBorder="1">
      <alignment horizontal="left" vertical="top"/>
    </xf>
    <xf numFmtId="0" fontId="0" fillId="4" borderId="99" xfId="0" applyFill="1" applyBorder="1">
      <alignment horizontal="left" vertical="top"/>
    </xf>
    <xf numFmtId="0" fontId="0" fillId="4" borderId="100" xfId="0" applyFill="1" applyBorder="1">
      <alignment horizontal="left" vertical="top"/>
    </xf>
    <xf numFmtId="0" fontId="0" fillId="4" borderId="101" xfId="0" applyFill="1" applyBorder="1">
      <alignment horizontal="left" vertical="top"/>
    </xf>
    <xf numFmtId="0" fontId="1" fillId="0" borderId="0" xfId="0" applyFont="1" applyAlignment="1">
      <alignment horizontal="left" vertical="top" wrapText="1"/>
    </xf>
    <xf numFmtId="0" fontId="0" fillId="0" borderId="0" xfId="0">
      <alignment horizontal="left" vertical="top"/>
    </xf>
    <xf numFmtId="49" fontId="0" fillId="4" borderId="32" xfId="0" applyNumberFormat="1" applyFill="1" applyBorder="1" applyAlignment="1">
      <alignment horizontal="left" vertical="top" wrapText="1"/>
    </xf>
    <xf numFmtId="0" fontId="0" fillId="4" borderId="33" xfId="0" applyFill="1" applyBorder="1" applyAlignment="1">
      <alignment horizontal="left" vertical="top" wrapText="1"/>
    </xf>
    <xf numFmtId="0" fontId="0" fillId="4" borderId="34" xfId="0" applyFill="1" applyBorder="1" applyAlignment="1">
      <alignment horizontal="left" vertical="top" wrapText="1"/>
    </xf>
    <xf numFmtId="0" fontId="0" fillId="4" borderId="32" xfId="0" applyFill="1" applyBorder="1" applyAlignment="1">
      <alignment horizontal="left" vertical="top" wrapText="1"/>
    </xf>
    <xf numFmtId="0" fontId="0" fillId="4" borderId="10" xfId="0" applyFill="1" applyBorder="1" applyAlignment="1">
      <alignment horizontal="left" wrapText="1"/>
    </xf>
    <xf numFmtId="0" fontId="0" fillId="4" borderId="11" xfId="0" applyFill="1" applyBorder="1" applyAlignment="1">
      <alignment horizontal="left" wrapText="1"/>
    </xf>
    <xf numFmtId="0" fontId="0" fillId="4" borderId="12" xfId="0" applyFill="1" applyBorder="1" applyAlignment="1">
      <alignment horizontal="left" wrapText="1"/>
    </xf>
    <xf numFmtId="49" fontId="12" fillId="5" borderId="14" xfId="0" applyNumberFormat="1" applyFont="1" applyFill="1" applyBorder="1" applyAlignment="1">
      <alignment horizontal="left" vertical="top" wrapText="1"/>
    </xf>
    <xf numFmtId="0" fontId="12" fillId="5" borderId="4" xfId="0" applyFont="1" applyFill="1" applyBorder="1" applyAlignment="1">
      <alignment horizontal="left" vertical="top" wrapText="1"/>
    </xf>
    <xf numFmtId="0" fontId="12" fillId="5" borderId="15" xfId="0" applyFont="1" applyFill="1" applyBorder="1" applyAlignment="1">
      <alignment horizontal="left" vertical="top" wrapText="1"/>
    </xf>
    <xf numFmtId="165" fontId="14" fillId="5" borderId="14" xfId="0" applyNumberFormat="1" applyFont="1" applyFill="1" applyBorder="1" applyAlignment="1">
      <alignment horizontal="center" vertical="top"/>
    </xf>
    <xf numFmtId="165" fontId="14" fillId="5" borderId="4" xfId="0" applyNumberFormat="1" applyFont="1" applyFill="1" applyBorder="1" applyAlignment="1">
      <alignment horizontal="center" vertical="top"/>
    </xf>
    <xf numFmtId="165" fontId="14" fillId="5" borderId="15" xfId="0" applyNumberFormat="1" applyFont="1" applyFill="1" applyBorder="1" applyAlignment="1">
      <alignment horizontal="center" vertical="top"/>
    </xf>
    <xf numFmtId="49" fontId="0" fillId="4" borderId="16" xfId="0" applyNumberFormat="1" applyFill="1" applyBorder="1" applyAlignment="1">
      <alignment horizontal="left" vertical="top" wrapText="1"/>
    </xf>
    <xf numFmtId="0" fontId="0" fillId="4" borderId="8"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7" xfId="0" applyFill="1" applyBorder="1" applyAlignment="1">
      <alignment horizontal="left" vertical="center" wrapText="1"/>
    </xf>
    <xf numFmtId="49" fontId="12" fillId="7" borderId="14" xfId="0" applyNumberFormat="1" applyFont="1" applyFill="1" applyBorder="1" applyAlignment="1">
      <alignment horizontal="center" vertical="top" wrapText="1"/>
    </xf>
    <xf numFmtId="0" fontId="12" fillId="7" borderId="4" xfId="0" applyFont="1" applyFill="1" applyBorder="1" applyAlignment="1">
      <alignment horizontal="center" vertical="top" wrapText="1"/>
    </xf>
    <xf numFmtId="0" fontId="12" fillId="7" borderId="15" xfId="0" applyFont="1" applyFill="1" applyBorder="1" applyAlignment="1">
      <alignment horizontal="center" vertical="top" wrapText="1"/>
    </xf>
    <xf numFmtId="165" fontId="20" fillId="7" borderId="14" xfId="0" applyNumberFormat="1" applyFont="1" applyFill="1" applyBorder="1" applyAlignment="1">
      <alignment horizontal="center" vertical="top"/>
    </xf>
    <xf numFmtId="165" fontId="20" fillId="7" borderId="4" xfId="0" applyNumberFormat="1" applyFont="1" applyFill="1" applyBorder="1" applyAlignment="1">
      <alignment horizontal="center" vertical="top"/>
    </xf>
    <xf numFmtId="165" fontId="20" fillId="7" borderId="15" xfId="0" applyNumberFormat="1" applyFont="1" applyFill="1" applyBorder="1" applyAlignment="1">
      <alignment horizontal="center" vertical="top"/>
    </xf>
    <xf numFmtId="0" fontId="0" fillId="4" borderId="16" xfId="0" applyFill="1" applyBorder="1" applyAlignment="1">
      <alignment horizontal="left" wrapText="1"/>
    </xf>
    <xf numFmtId="0" fontId="0" fillId="4" borderId="8" xfId="0" applyFill="1" applyBorder="1" applyAlignment="1">
      <alignment horizontal="left" wrapText="1"/>
    </xf>
    <xf numFmtId="0" fontId="0" fillId="4" borderId="17" xfId="0" applyFill="1" applyBorder="1" applyAlignment="1">
      <alignment horizontal="left" wrapText="1"/>
    </xf>
    <xf numFmtId="0" fontId="0" fillId="5" borderId="4" xfId="0" applyFill="1" applyBorder="1" applyAlignment="1">
      <alignment horizontal="left" wrapText="1"/>
    </xf>
    <xf numFmtId="165" fontId="14" fillId="5" borderId="4" xfId="0" applyNumberFormat="1" applyFont="1" applyFill="1" applyBorder="1">
      <alignment horizontal="left" vertical="top"/>
    </xf>
    <xf numFmtId="165" fontId="14" fillId="5" borderId="15" xfId="0" applyNumberFormat="1" applyFont="1" applyFill="1" applyBorder="1">
      <alignment horizontal="left" vertical="top"/>
    </xf>
    <xf numFmtId="165" fontId="14" fillId="5" borderId="14" xfId="0" applyNumberFormat="1" applyFont="1" applyFill="1" applyBorder="1">
      <alignment horizontal="left" vertical="top"/>
    </xf>
    <xf numFmtId="49" fontId="19" fillId="4" borderId="29" xfId="0" applyNumberFormat="1" applyFont="1" applyFill="1" applyBorder="1" applyAlignment="1">
      <alignment horizontal="left" vertical="top" wrapText="1"/>
    </xf>
    <xf numFmtId="0" fontId="19" fillId="4" borderId="7" xfId="0" applyFont="1" applyFill="1" applyBorder="1" applyAlignment="1">
      <alignment horizontal="left" vertical="top" wrapText="1"/>
    </xf>
    <xf numFmtId="1" fontId="19" fillId="0" borderId="7" xfId="0" applyNumberFormat="1" applyFont="1" applyBorder="1" applyAlignment="1">
      <alignment horizontal="right" vertical="top"/>
    </xf>
    <xf numFmtId="49" fontId="19" fillId="4" borderId="7" xfId="0" applyNumberFormat="1" applyFont="1" applyFill="1" applyBorder="1" applyAlignment="1">
      <alignment horizontal="center" vertical="top" wrapText="1"/>
    </xf>
    <xf numFmtId="0" fontId="19" fillId="4" borderId="7" xfId="0" applyFont="1" applyFill="1" applyBorder="1" applyAlignment="1">
      <alignment horizontal="center" vertical="top" wrapText="1"/>
    </xf>
    <xf numFmtId="166" fontId="19" fillId="0" borderId="7" xfId="0" applyNumberFormat="1" applyFont="1" applyBorder="1" applyAlignment="1">
      <alignment horizontal="center" vertical="top"/>
    </xf>
    <xf numFmtId="165" fontId="19" fillId="0" borderId="7" xfId="0" applyNumberFormat="1" applyFont="1" applyBorder="1">
      <alignment horizontal="left" vertical="top"/>
    </xf>
    <xf numFmtId="165" fontId="19" fillId="0" borderId="30" xfId="0" applyNumberFormat="1" applyFont="1" applyBorder="1">
      <alignment horizontal="left" vertical="top"/>
    </xf>
    <xf numFmtId="0" fontId="0" fillId="4" borderId="29" xfId="0" applyFill="1" applyBorder="1" applyAlignment="1">
      <alignment horizontal="left" vertical="center" wrapText="1"/>
    </xf>
    <xf numFmtId="0" fontId="0" fillId="4" borderId="7" xfId="0" applyFill="1" applyBorder="1" applyAlignment="1">
      <alignment horizontal="left" vertical="center" wrapText="1"/>
    </xf>
    <xf numFmtId="0" fontId="0" fillId="4" borderId="30" xfId="0" applyFill="1" applyBorder="1" applyAlignment="1">
      <alignment horizontal="left" vertical="center" wrapText="1"/>
    </xf>
    <xf numFmtId="0" fontId="0" fillId="4" borderId="13" xfId="0" applyFill="1" applyBorder="1" applyAlignment="1">
      <alignment horizontal="left" vertical="center" wrapText="1"/>
    </xf>
    <xf numFmtId="0" fontId="0" fillId="4" borderId="1" xfId="0" applyFill="1" applyBorder="1" applyAlignment="1">
      <alignment horizontal="left" vertical="center" wrapText="1"/>
    </xf>
    <xf numFmtId="0" fontId="0" fillId="4" borderId="31" xfId="0" applyFill="1" applyBorder="1" applyAlignment="1">
      <alignment horizontal="left" vertical="center" wrapText="1"/>
    </xf>
    <xf numFmtId="49" fontId="19" fillId="4" borderId="13" xfId="0" applyNumberFormat="1" applyFont="1" applyFill="1" applyBorder="1" applyAlignment="1">
      <alignment horizontal="left" vertical="top" wrapText="1"/>
    </xf>
    <xf numFmtId="0" fontId="19" fillId="4" borderId="1" xfId="0" applyFont="1" applyFill="1" applyBorder="1" applyAlignment="1">
      <alignment horizontal="left" vertical="top" wrapText="1"/>
    </xf>
    <xf numFmtId="1" fontId="19" fillId="0" borderId="1" xfId="0" applyNumberFormat="1" applyFont="1" applyBorder="1" applyAlignment="1">
      <alignment horizontal="right" vertical="top"/>
    </xf>
    <xf numFmtId="49" fontId="19" fillId="4" borderId="1" xfId="0" applyNumberFormat="1" applyFont="1" applyFill="1" applyBorder="1" applyAlignment="1">
      <alignment horizontal="center" vertical="top" wrapText="1"/>
    </xf>
    <xf numFmtId="0" fontId="19" fillId="4" borderId="1" xfId="0" applyFont="1" applyFill="1" applyBorder="1" applyAlignment="1">
      <alignment horizontal="center" vertical="top" wrapText="1"/>
    </xf>
    <xf numFmtId="166" fontId="19" fillId="0" borderId="1" xfId="0" applyNumberFormat="1" applyFont="1" applyBorder="1" applyAlignment="1">
      <alignment horizontal="center" vertical="top"/>
    </xf>
    <xf numFmtId="165" fontId="19" fillId="0" borderId="1" xfId="0" applyNumberFormat="1" applyFont="1" applyBorder="1">
      <alignment horizontal="left" vertical="top"/>
    </xf>
    <xf numFmtId="165" fontId="19" fillId="0" borderId="31" xfId="0" applyNumberFormat="1" applyFont="1" applyBorder="1">
      <alignment horizontal="left" vertical="top"/>
    </xf>
    <xf numFmtId="3" fontId="19" fillId="0" borderId="1" xfId="0" applyNumberFormat="1" applyFont="1" applyBorder="1" applyAlignment="1">
      <alignment horizontal="right" vertical="top"/>
    </xf>
    <xf numFmtId="167" fontId="19" fillId="0" borderId="1" xfId="0" applyNumberFormat="1" applyFont="1" applyBorder="1" applyAlignment="1">
      <alignment horizontal="center" vertical="top"/>
    </xf>
    <xf numFmtId="0" fontId="0" fillId="4" borderId="13" xfId="0" applyFill="1" applyBorder="1" applyAlignment="1">
      <alignment horizontal="left" wrapText="1"/>
    </xf>
    <xf numFmtId="0" fontId="0" fillId="4" borderId="1" xfId="0" applyFill="1" applyBorder="1" applyAlignment="1">
      <alignment horizontal="left" wrapText="1"/>
    </xf>
    <xf numFmtId="0" fontId="0" fillId="4" borderId="31" xfId="0" applyFill="1" applyBorder="1" applyAlignment="1">
      <alignment horizontal="left" wrapText="1"/>
    </xf>
    <xf numFmtId="49" fontId="19" fillId="4" borderId="32" xfId="0" applyNumberFormat="1" applyFont="1" applyFill="1" applyBorder="1" applyAlignment="1">
      <alignment horizontal="left" vertical="top" wrapText="1"/>
    </xf>
    <xf numFmtId="0" fontId="19" fillId="4" borderId="33" xfId="0" applyFont="1" applyFill="1" applyBorder="1" applyAlignment="1">
      <alignment horizontal="left" vertical="top" wrapText="1"/>
    </xf>
    <xf numFmtId="3" fontId="19" fillId="0" borderId="33" xfId="0" applyNumberFormat="1" applyFont="1" applyBorder="1" applyAlignment="1">
      <alignment horizontal="right" vertical="top"/>
    </xf>
    <xf numFmtId="49" fontId="19" fillId="4" borderId="33" xfId="0" applyNumberFormat="1" applyFont="1" applyFill="1" applyBorder="1" applyAlignment="1">
      <alignment horizontal="center" vertical="top" wrapText="1"/>
    </xf>
    <xf numFmtId="0" fontId="19" fillId="4" borderId="33" xfId="0" applyFont="1" applyFill="1" applyBorder="1" applyAlignment="1">
      <alignment horizontal="center" vertical="top" wrapText="1"/>
    </xf>
    <xf numFmtId="167" fontId="19" fillId="0" borderId="33" xfId="0" applyNumberFormat="1" applyFont="1" applyBorder="1" applyAlignment="1">
      <alignment horizontal="center" vertical="top"/>
    </xf>
    <xf numFmtId="165" fontId="19" fillId="0" borderId="33" xfId="0" applyNumberFormat="1" applyFont="1" applyBorder="1">
      <alignment horizontal="left" vertical="top"/>
    </xf>
    <xf numFmtId="165" fontId="19" fillId="0" borderId="34" xfId="0" applyNumberFormat="1" applyFont="1" applyBorder="1">
      <alignment horizontal="left" vertical="top"/>
    </xf>
    <xf numFmtId="0" fontId="0" fillId="4" borderId="32" xfId="0" applyFill="1" applyBorder="1" applyAlignment="1">
      <alignment horizontal="left" wrapText="1"/>
    </xf>
    <xf numFmtId="0" fontId="0" fillId="4" borderId="33" xfId="0" applyFill="1" applyBorder="1" applyAlignment="1">
      <alignment horizontal="left" wrapText="1"/>
    </xf>
    <xf numFmtId="0" fontId="0" fillId="4" borderId="34" xfId="0" applyFill="1" applyBorder="1" applyAlignment="1">
      <alignment horizontal="left" wrapText="1"/>
    </xf>
    <xf numFmtId="49" fontId="19" fillId="4" borderId="13" xfId="0" applyNumberFormat="1" applyFont="1" applyFill="1" applyBorder="1" applyAlignment="1">
      <alignment horizontal="left" vertical="top" wrapText="1" indent="2"/>
    </xf>
    <xf numFmtId="0" fontId="19" fillId="4" borderId="31" xfId="0" applyFont="1" applyFill="1" applyBorder="1" applyAlignment="1">
      <alignment horizontal="left" vertical="top" wrapText="1"/>
    </xf>
    <xf numFmtId="49" fontId="19" fillId="4" borderId="1" xfId="0" applyNumberFormat="1" applyFont="1" applyFill="1" applyBorder="1" applyAlignment="1">
      <alignment horizontal="left" vertical="top" wrapText="1"/>
    </xf>
    <xf numFmtId="0" fontId="19" fillId="4" borderId="34" xfId="0" applyFont="1" applyFill="1" applyBorder="1" applyAlignment="1">
      <alignment horizontal="left" vertical="top" wrapText="1"/>
    </xf>
    <xf numFmtId="0" fontId="0" fillId="4" borderId="7" xfId="0" applyFill="1" applyBorder="1" applyAlignment="1">
      <alignment horizontal="left" wrapText="1"/>
    </xf>
    <xf numFmtId="0" fontId="0" fillId="4" borderId="30" xfId="0" applyFill="1" applyBorder="1" applyAlignment="1">
      <alignment horizontal="left" wrapText="1"/>
    </xf>
    <xf numFmtId="0" fontId="0" fillId="4" borderId="29" xfId="0" applyFill="1" applyBorder="1" applyAlignment="1">
      <alignment horizontal="left" wrapText="1"/>
    </xf>
    <xf numFmtId="1" fontId="19" fillId="0" borderId="33" xfId="0" applyNumberFormat="1" applyFont="1" applyBorder="1" applyAlignment="1">
      <alignment horizontal="right" vertical="top"/>
    </xf>
    <xf numFmtId="166" fontId="19" fillId="0" borderId="33" xfId="0" applyNumberFormat="1" applyFont="1" applyBorder="1" applyAlignment="1">
      <alignment horizontal="center" vertical="top"/>
    </xf>
    <xf numFmtId="3" fontId="19" fillId="0" borderId="7" xfId="0" applyNumberFormat="1" applyFont="1" applyBorder="1" applyAlignment="1">
      <alignment horizontal="right" vertical="top"/>
    </xf>
    <xf numFmtId="167" fontId="19" fillId="0" borderId="7" xfId="0" applyNumberFormat="1" applyFont="1" applyBorder="1" applyAlignment="1">
      <alignment horizontal="center" vertical="top"/>
    </xf>
    <xf numFmtId="0" fontId="19" fillId="4" borderId="30" xfId="0" applyFont="1" applyFill="1" applyBorder="1" applyAlignment="1">
      <alignment horizontal="left" vertical="top" wrapText="1"/>
    </xf>
    <xf numFmtId="0" fontId="0" fillId="4" borderId="29" xfId="0" applyFill="1" applyBorder="1" applyAlignment="1">
      <alignment horizontal="left" vertical="top" wrapText="1"/>
    </xf>
    <xf numFmtId="0" fontId="0" fillId="4" borderId="7" xfId="0" applyFill="1" applyBorder="1" applyAlignment="1">
      <alignment horizontal="left" vertical="top" wrapText="1"/>
    </xf>
    <xf numFmtId="0" fontId="0" fillId="4" borderId="30" xfId="0" applyFill="1" applyBorder="1" applyAlignment="1">
      <alignment horizontal="left" vertical="top" wrapText="1"/>
    </xf>
    <xf numFmtId="0" fontId="0" fillId="4" borderId="13" xfId="0" applyFill="1" applyBorder="1" applyAlignment="1">
      <alignment horizontal="left" vertical="top" wrapText="1"/>
    </xf>
    <xf numFmtId="0" fontId="0" fillId="4" borderId="1" xfId="0" applyFill="1" applyBorder="1" applyAlignment="1">
      <alignment horizontal="left" vertical="top" wrapText="1"/>
    </xf>
    <xf numFmtId="0" fontId="0" fillId="4" borderId="31" xfId="0" applyFill="1" applyBorder="1" applyAlignment="1">
      <alignment horizontal="left" vertical="top" wrapText="1"/>
    </xf>
    <xf numFmtId="3" fontId="19" fillId="4" borderId="8" xfId="0" applyNumberFormat="1" applyFont="1" applyFill="1" applyBorder="1" applyAlignment="1">
      <alignment horizontal="right" vertical="center"/>
    </xf>
    <xf numFmtId="49" fontId="19" fillId="4" borderId="8" xfId="0" applyNumberFormat="1" applyFont="1" applyFill="1" applyBorder="1" applyAlignment="1">
      <alignment horizontal="center" vertical="center" wrapText="1"/>
    </xf>
    <xf numFmtId="0" fontId="19" fillId="4" borderId="8" xfId="0" applyFont="1" applyFill="1" applyBorder="1" applyAlignment="1">
      <alignment horizontal="center" vertical="center" wrapText="1"/>
    </xf>
    <xf numFmtId="167" fontId="19" fillId="4" borderId="8" xfId="0" applyNumberFormat="1" applyFont="1" applyFill="1" applyBorder="1" applyAlignment="1">
      <alignment horizontal="center" vertical="center"/>
    </xf>
    <xf numFmtId="165" fontId="19" fillId="4" borderId="8" xfId="0" applyNumberFormat="1" applyFont="1" applyFill="1" applyBorder="1" applyAlignment="1">
      <alignment horizontal="left" vertical="center"/>
    </xf>
    <xf numFmtId="165" fontId="19" fillId="4" borderId="17" xfId="0" applyNumberFormat="1" applyFont="1" applyFill="1" applyBorder="1" applyAlignment="1">
      <alignment horizontal="left" vertical="center"/>
    </xf>
    <xf numFmtId="49" fontId="0" fillId="4" borderId="29" xfId="0" applyNumberFormat="1" applyFill="1" applyBorder="1" applyAlignment="1">
      <alignment horizontal="left" vertical="top" wrapText="1"/>
    </xf>
    <xf numFmtId="49" fontId="0" fillId="4" borderId="7" xfId="0" applyNumberFormat="1" applyFill="1" applyBorder="1" applyAlignment="1">
      <alignment horizontal="left" vertical="top" wrapText="1" indent="2"/>
    </xf>
    <xf numFmtId="49" fontId="0" fillId="4" borderId="7" xfId="0" applyNumberFormat="1" applyFill="1" applyBorder="1" applyAlignment="1">
      <alignment horizontal="center" vertical="top" wrapText="1"/>
    </xf>
    <xf numFmtId="0" fontId="0" fillId="4" borderId="7" xfId="0" applyFill="1" applyBorder="1" applyAlignment="1">
      <alignment horizontal="center" vertical="top" wrapText="1"/>
    </xf>
    <xf numFmtId="49" fontId="0" fillId="4" borderId="7" xfId="0" applyNumberFormat="1" applyFill="1" applyBorder="1" applyAlignment="1">
      <alignment horizontal="left" vertical="top" wrapText="1"/>
    </xf>
    <xf numFmtId="49" fontId="19" fillId="4" borderId="29" xfId="0" applyNumberFormat="1" applyFont="1" applyFill="1" applyBorder="1" applyAlignment="1">
      <alignment horizontal="left" vertical="center" wrapText="1"/>
    </xf>
    <xf numFmtId="0" fontId="19" fillId="4" borderId="7" xfId="0" applyFont="1" applyFill="1" applyBorder="1" applyAlignment="1">
      <alignment horizontal="left" vertical="center" wrapText="1"/>
    </xf>
    <xf numFmtId="0" fontId="19" fillId="4" borderId="30" xfId="0" applyFont="1" applyFill="1" applyBorder="1" applyAlignment="1">
      <alignment horizontal="left" vertical="center" wrapText="1"/>
    </xf>
    <xf numFmtId="49" fontId="12" fillId="5" borderId="4" xfId="0" applyNumberFormat="1" applyFont="1" applyFill="1" applyBorder="1" applyAlignment="1">
      <alignment horizontal="left" vertical="top" wrapText="1"/>
    </xf>
    <xf numFmtId="49" fontId="19" fillId="4" borderId="16" xfId="0" applyNumberFormat="1" applyFont="1" applyFill="1" applyBorder="1" applyAlignment="1">
      <alignment horizontal="left" vertical="top" wrapText="1"/>
    </xf>
    <xf numFmtId="0" fontId="19" fillId="4" borderId="8" xfId="0" applyFont="1" applyFill="1" applyBorder="1" applyAlignment="1">
      <alignment horizontal="left" vertical="top" wrapText="1"/>
    </xf>
    <xf numFmtId="0" fontId="19" fillId="4" borderId="17" xfId="0" applyFont="1" applyFill="1" applyBorder="1" applyAlignment="1">
      <alignment horizontal="left" vertical="top" wrapText="1"/>
    </xf>
    <xf numFmtId="49" fontId="0" fillId="4" borderId="8" xfId="0" applyNumberFormat="1" applyFill="1" applyBorder="1" applyAlignment="1">
      <alignment horizontal="left" vertical="top" wrapText="1"/>
    </xf>
    <xf numFmtId="49" fontId="0" fillId="4" borderId="8" xfId="0" applyNumberFormat="1" applyFill="1" applyBorder="1" applyAlignment="1">
      <alignment horizontal="left" vertical="top" wrapText="1" indent="2"/>
    </xf>
    <xf numFmtId="49" fontId="19" fillId="4" borderId="8" xfId="0" applyNumberFormat="1" applyFont="1" applyFill="1" applyBorder="1" applyAlignment="1">
      <alignment horizontal="center" vertical="top" wrapText="1"/>
    </xf>
    <xf numFmtId="0" fontId="19" fillId="4" borderId="8" xfId="0" applyFont="1" applyFill="1" applyBorder="1" applyAlignment="1">
      <alignment horizontal="center" vertical="top" wrapText="1"/>
    </xf>
    <xf numFmtId="0" fontId="0" fillId="4" borderId="16" xfId="0" applyFill="1" applyBorder="1" applyAlignment="1">
      <alignment horizontal="left" vertical="top" wrapText="1"/>
    </xf>
    <xf numFmtId="0" fontId="0" fillId="4" borderId="1" xfId="0" applyFill="1" applyBorder="1" applyAlignment="1">
      <alignment horizontal="center" vertical="top" wrapText="1"/>
    </xf>
    <xf numFmtId="0" fontId="0" fillId="4" borderId="33" xfId="0" applyFill="1" applyBorder="1" applyAlignment="1">
      <alignment horizontal="center" vertical="top" wrapText="1"/>
    </xf>
    <xf numFmtId="49" fontId="19" fillId="4" borderId="13" xfId="0" applyNumberFormat="1"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4" borderId="31" xfId="0" applyFont="1" applyFill="1" applyBorder="1" applyAlignment="1">
      <alignment horizontal="left" vertical="center" wrapText="1"/>
    </xf>
    <xf numFmtId="49" fontId="0" fillId="4" borderId="32" xfId="0" applyNumberFormat="1" applyFill="1" applyBorder="1" applyAlignment="1">
      <alignment horizontal="left" vertical="top" wrapText="1" indent="2"/>
    </xf>
    <xf numFmtId="49" fontId="0" fillId="4" borderId="33" xfId="0" applyNumberFormat="1" applyFill="1" applyBorder="1" applyAlignment="1">
      <alignment horizontal="right" vertical="top" wrapText="1"/>
    </xf>
    <xf numFmtId="0" fontId="0" fillId="4" borderId="33" xfId="0" applyFill="1" applyBorder="1" applyAlignment="1">
      <alignment horizontal="right" vertical="top" wrapText="1"/>
    </xf>
    <xf numFmtId="49" fontId="0" fillId="4" borderId="33" xfId="0" applyNumberFormat="1" applyFill="1" applyBorder="1" applyAlignment="1">
      <alignment horizontal="center" vertical="top" wrapText="1"/>
    </xf>
    <xf numFmtId="49" fontId="0" fillId="4" borderId="33" xfId="0" applyNumberFormat="1" applyFill="1" applyBorder="1" applyAlignment="1">
      <alignment horizontal="left" vertical="top" wrapText="1"/>
    </xf>
    <xf numFmtId="0" fontId="0" fillId="4" borderId="32" xfId="0" applyFill="1" applyBorder="1" applyAlignment="1">
      <alignment horizontal="left" vertical="center" wrapText="1"/>
    </xf>
    <xf numFmtId="0" fontId="0" fillId="4" borderId="33" xfId="0" applyFill="1" applyBorder="1" applyAlignment="1">
      <alignment horizontal="left" vertical="center" wrapText="1"/>
    </xf>
    <xf numFmtId="0" fontId="0" fillId="4" borderId="34" xfId="0" applyFill="1" applyBorder="1" applyAlignment="1">
      <alignment horizontal="left" vertical="center" wrapText="1"/>
    </xf>
    <xf numFmtId="49" fontId="12" fillId="7" borderId="21" xfId="0" applyNumberFormat="1" applyFont="1" applyFill="1" applyBorder="1" applyAlignment="1">
      <alignment horizontal="left" wrapText="1" indent="2"/>
    </xf>
    <xf numFmtId="0" fontId="12" fillId="7" borderId="22" xfId="0" applyFont="1" applyFill="1" applyBorder="1" applyAlignment="1">
      <alignment horizontal="left" wrapText="1"/>
    </xf>
    <xf numFmtId="0" fontId="12" fillId="7" borderId="23" xfId="0" applyFont="1" applyFill="1" applyBorder="1" applyAlignment="1">
      <alignment horizontal="left" wrapText="1"/>
    </xf>
    <xf numFmtId="49" fontId="12" fillId="7" borderId="21" xfId="0" applyNumberFormat="1" applyFont="1" applyFill="1" applyBorder="1" applyAlignment="1">
      <alignment horizontal="left" wrapText="1"/>
    </xf>
    <xf numFmtId="49" fontId="0" fillId="7" borderId="21" xfId="0" applyNumberFormat="1" applyFill="1" applyBorder="1" applyAlignment="1">
      <alignment horizontal="center" vertical="top" wrapText="1"/>
    </xf>
    <xf numFmtId="0" fontId="0" fillId="7" borderId="23" xfId="0" applyFill="1" applyBorder="1" applyAlignment="1">
      <alignment horizontal="center" vertical="top" wrapText="1"/>
    </xf>
    <xf numFmtId="49" fontId="12" fillId="7" borderId="21" xfId="0" applyNumberFormat="1" applyFont="1" applyFill="1" applyBorder="1" applyAlignment="1">
      <alignment horizontal="left" vertical="top" wrapText="1" indent="2"/>
    </xf>
    <xf numFmtId="0" fontId="12" fillId="7" borderId="22" xfId="0" applyFont="1" applyFill="1" applyBorder="1" applyAlignment="1">
      <alignment horizontal="left" vertical="top" wrapText="1"/>
    </xf>
    <xf numFmtId="0" fontId="12" fillId="7" borderId="23" xfId="0" applyFont="1" applyFill="1" applyBorder="1" applyAlignment="1">
      <alignment horizontal="left" vertical="top" wrapText="1"/>
    </xf>
    <xf numFmtId="49" fontId="19" fillId="4" borderId="29" xfId="0" applyNumberFormat="1" applyFont="1" applyFill="1" applyBorder="1" applyAlignment="1">
      <alignment horizontal="left" wrapText="1"/>
    </xf>
    <xf numFmtId="0" fontId="19" fillId="4" borderId="7" xfId="0" applyFont="1" applyFill="1" applyBorder="1" applyAlignment="1">
      <alignment horizontal="left" wrapText="1"/>
    </xf>
    <xf numFmtId="0" fontId="19" fillId="4" borderId="30" xfId="0" applyFont="1" applyFill="1" applyBorder="1" applyAlignment="1">
      <alignment horizontal="left" wrapText="1"/>
    </xf>
    <xf numFmtId="49" fontId="12" fillId="7" borderId="14" xfId="0" applyNumberFormat="1" applyFont="1" applyFill="1" applyBorder="1" applyAlignment="1">
      <alignment horizontal="left" vertical="top" wrapText="1"/>
    </xf>
    <xf numFmtId="0" fontId="12" fillId="7" borderId="4" xfId="0" applyFont="1" applyFill="1" applyBorder="1" applyAlignment="1">
      <alignment horizontal="left" vertical="top" wrapText="1"/>
    </xf>
    <xf numFmtId="0" fontId="0" fillId="7" borderId="4" xfId="0" applyFill="1" applyBorder="1" applyAlignment="1">
      <alignment horizontal="left" wrapText="1"/>
    </xf>
    <xf numFmtId="165" fontId="12" fillId="7" borderId="4" xfId="0" applyNumberFormat="1" applyFont="1" applyFill="1" applyBorder="1">
      <alignment horizontal="left" vertical="top"/>
    </xf>
    <xf numFmtId="165" fontId="12" fillId="7" borderId="15" xfId="0" applyNumberFormat="1" applyFont="1" applyFill="1" applyBorder="1">
      <alignment horizontal="left" vertical="top"/>
    </xf>
    <xf numFmtId="165" fontId="20" fillId="7" borderId="14" xfId="0" applyNumberFormat="1" applyFont="1" applyFill="1" applyBorder="1">
      <alignment horizontal="left" vertical="top"/>
    </xf>
    <xf numFmtId="165" fontId="20" fillId="7" borderId="4" xfId="0" applyNumberFormat="1" applyFont="1" applyFill="1" applyBorder="1">
      <alignment horizontal="left" vertical="top"/>
    </xf>
    <xf numFmtId="165" fontId="20" fillId="7" borderId="15" xfId="0" applyNumberFormat="1" applyFont="1" applyFill="1" applyBorder="1">
      <alignment horizontal="left" vertical="top"/>
    </xf>
    <xf numFmtId="49" fontId="0" fillId="4" borderId="11" xfId="0" applyNumberFormat="1" applyFill="1" applyBorder="1" applyAlignment="1">
      <alignment horizontal="left" vertical="center" wrapText="1"/>
    </xf>
    <xf numFmtId="0" fontId="0" fillId="4" borderId="11" xfId="0" applyFill="1" applyBorder="1" applyAlignment="1">
      <alignment horizontal="left" vertical="center" wrapText="1"/>
    </xf>
    <xf numFmtId="49" fontId="11" fillId="6" borderId="3" xfId="0" applyNumberFormat="1" applyFont="1" applyFill="1" applyBorder="1" applyAlignment="1">
      <alignment horizontal="center" vertical="top" wrapText="1"/>
    </xf>
    <xf numFmtId="0" fontId="11" fillId="6" borderId="4" xfId="0" applyFont="1" applyFill="1" applyBorder="1" applyAlignment="1">
      <alignment horizontal="center" vertical="top" wrapText="1"/>
    </xf>
    <xf numFmtId="0" fontId="0" fillId="4" borderId="5" xfId="0" applyFill="1" applyBorder="1" applyAlignment="1">
      <alignment horizontal="left" wrapText="1"/>
    </xf>
    <xf numFmtId="1" fontId="19" fillId="4" borderId="8" xfId="0" applyNumberFormat="1" applyFont="1" applyFill="1" applyBorder="1" applyAlignment="1">
      <alignment horizontal="right"/>
    </xf>
    <xf numFmtId="49" fontId="19" fillId="4" borderId="8" xfId="0" applyNumberFormat="1" applyFont="1" applyFill="1" applyBorder="1" applyAlignment="1">
      <alignment horizontal="center" wrapText="1"/>
    </xf>
    <xf numFmtId="0" fontId="19" fillId="4" borderId="8" xfId="0" applyFont="1" applyFill="1" applyBorder="1" applyAlignment="1">
      <alignment horizontal="center" wrapText="1"/>
    </xf>
    <xf numFmtId="166" fontId="19" fillId="4" borderId="8" xfId="0" applyNumberFormat="1" applyFont="1" applyFill="1" applyBorder="1" applyAlignment="1">
      <alignment horizontal="center"/>
    </xf>
    <xf numFmtId="165" fontId="19" fillId="4" borderId="8" xfId="0" applyNumberFormat="1" applyFont="1" applyFill="1" applyBorder="1" applyAlignment="1">
      <alignment horizontal="left"/>
    </xf>
    <xf numFmtId="165" fontId="19" fillId="4" borderId="17" xfId="0" applyNumberFormat="1" applyFont="1" applyFill="1" applyBorder="1" applyAlignment="1">
      <alignment horizontal="left"/>
    </xf>
    <xf numFmtId="49" fontId="19" fillId="4" borderId="32" xfId="0" applyNumberFormat="1" applyFont="1" applyFill="1" applyBorder="1" applyAlignment="1">
      <alignment horizontal="left" vertical="top" wrapText="1" indent="2"/>
    </xf>
    <xf numFmtId="49" fontId="0" fillId="4" borderId="8" xfId="0" applyNumberFormat="1" applyFill="1" applyBorder="1" applyAlignment="1">
      <alignment horizontal="right" vertical="top" wrapText="1"/>
    </xf>
    <xf numFmtId="0" fontId="0" fillId="4" borderId="8" xfId="0" applyFill="1" applyBorder="1" applyAlignment="1">
      <alignment horizontal="right" vertical="top" wrapText="1"/>
    </xf>
    <xf numFmtId="49" fontId="0" fillId="4" borderId="33" xfId="0" applyNumberFormat="1" applyFill="1" applyBorder="1" applyAlignment="1">
      <alignment horizontal="left" vertical="top" wrapText="1" indent="2"/>
    </xf>
    <xf numFmtId="165" fontId="19" fillId="0" borderId="1" xfId="0" applyNumberFormat="1" applyFont="1" applyBorder="1" applyAlignment="1">
      <alignment horizontal="center" vertical="top"/>
    </xf>
    <xf numFmtId="165" fontId="19" fillId="0" borderId="31" xfId="0" applyNumberFormat="1" applyFont="1" applyBorder="1" applyAlignment="1">
      <alignment horizontal="center" vertical="top"/>
    </xf>
    <xf numFmtId="165" fontId="19" fillId="0" borderId="33" xfId="0" applyNumberFormat="1" applyFont="1" applyBorder="1" applyAlignment="1">
      <alignment horizontal="center" vertical="top"/>
    </xf>
    <xf numFmtId="165" fontId="19" fillId="0" borderId="34" xfId="0" applyNumberFormat="1" applyFont="1" applyBorder="1" applyAlignment="1">
      <alignment horizontal="center" vertical="top"/>
    </xf>
    <xf numFmtId="3" fontId="19" fillId="4" borderId="7" xfId="0" applyNumberFormat="1" applyFont="1" applyFill="1" applyBorder="1" applyAlignment="1">
      <alignment horizontal="right" vertical="center"/>
    </xf>
    <xf numFmtId="49" fontId="19" fillId="4" borderId="7" xfId="0" applyNumberFormat="1" applyFont="1" applyFill="1" applyBorder="1" applyAlignment="1">
      <alignment horizontal="center" vertical="center" wrapText="1"/>
    </xf>
    <xf numFmtId="0" fontId="19" fillId="4" borderId="7" xfId="0" applyFont="1" applyFill="1" applyBorder="1" applyAlignment="1">
      <alignment horizontal="center" vertical="center" wrapText="1"/>
    </xf>
    <xf numFmtId="167" fontId="19" fillId="4" borderId="7" xfId="0" applyNumberFormat="1" applyFont="1" applyFill="1" applyBorder="1" applyAlignment="1">
      <alignment horizontal="center" vertical="center"/>
    </xf>
    <xf numFmtId="165" fontId="19" fillId="4" borderId="7" xfId="0" applyNumberFormat="1" applyFont="1" applyFill="1" applyBorder="1" applyAlignment="1">
      <alignment horizontal="center" vertical="center"/>
    </xf>
    <xf numFmtId="165" fontId="19" fillId="4" borderId="30" xfId="0" applyNumberFormat="1" applyFont="1" applyFill="1" applyBorder="1" applyAlignment="1">
      <alignment horizontal="center" vertical="center"/>
    </xf>
    <xf numFmtId="49" fontId="19" fillId="4" borderId="13" xfId="0" applyNumberFormat="1" applyFont="1" applyFill="1" applyBorder="1" applyAlignment="1">
      <alignment horizontal="left" wrapText="1"/>
    </xf>
    <xf numFmtId="0" fontId="19" fillId="4" borderId="1" xfId="0" applyFont="1" applyFill="1" applyBorder="1" applyAlignment="1">
      <alignment horizontal="left" wrapText="1"/>
    </xf>
    <xf numFmtId="0" fontId="19" fillId="4" borderId="31" xfId="0" applyFont="1" applyFill="1" applyBorder="1" applyAlignment="1">
      <alignment horizontal="left" wrapText="1"/>
    </xf>
    <xf numFmtId="165" fontId="19" fillId="4" borderId="8" xfId="0" applyNumberFormat="1" applyFont="1" applyFill="1" applyBorder="1" applyAlignment="1">
      <alignment horizontal="center"/>
    </xf>
    <xf numFmtId="165" fontId="19" fillId="4" borderId="17" xfId="0" applyNumberFormat="1" applyFont="1" applyFill="1" applyBorder="1" applyAlignment="1">
      <alignment horizontal="center"/>
    </xf>
    <xf numFmtId="165" fontId="12" fillId="7" borderId="4" xfId="0" applyNumberFormat="1" applyFont="1" applyFill="1" applyBorder="1" applyAlignment="1">
      <alignment horizontal="center" vertical="top"/>
    </xf>
    <xf numFmtId="165" fontId="12" fillId="7" borderId="15" xfId="0" applyNumberFormat="1" applyFont="1" applyFill="1" applyBorder="1" applyAlignment="1">
      <alignment horizontal="center" vertical="top"/>
    </xf>
    <xf numFmtId="165" fontId="19" fillId="0" borderId="7" xfId="0" applyNumberFormat="1" applyFont="1" applyBorder="1" applyAlignment="1">
      <alignment horizontal="center" vertical="top"/>
    </xf>
    <xf numFmtId="165" fontId="19" fillId="0" borderId="30" xfId="0" applyNumberFormat="1" applyFont="1" applyBorder="1" applyAlignment="1">
      <alignment horizontal="center" vertical="top"/>
    </xf>
    <xf numFmtId="49" fontId="19" fillId="4" borderId="1" xfId="0" applyNumberFormat="1" applyFont="1" applyFill="1" applyBorder="1" applyAlignment="1">
      <alignment horizontal="left" vertical="top" wrapText="1" indent="2"/>
    </xf>
    <xf numFmtId="49" fontId="19" fillId="4" borderId="33" xfId="0" applyNumberFormat="1" applyFont="1" applyFill="1" applyBorder="1" applyAlignment="1">
      <alignment horizontal="left" vertical="top" wrapText="1" indent="2"/>
    </xf>
    <xf numFmtId="49" fontId="19" fillId="4" borderId="16" xfId="0" applyNumberFormat="1" applyFont="1" applyFill="1" applyBorder="1" applyAlignment="1">
      <alignment horizontal="left" vertical="center" wrapText="1"/>
    </xf>
    <xf numFmtId="0" fontId="19" fillId="4" borderId="8" xfId="0" applyFont="1" applyFill="1" applyBorder="1" applyAlignment="1">
      <alignment horizontal="left" vertical="center" wrapText="1"/>
    </xf>
    <xf numFmtId="0" fontId="19" fillId="4" borderId="17" xfId="0" applyFont="1" applyFill="1" applyBorder="1" applyAlignment="1">
      <alignment horizontal="left" vertical="center" wrapText="1"/>
    </xf>
    <xf numFmtId="49" fontId="0" fillId="4" borderId="7" xfId="0" applyNumberFormat="1" applyFill="1" applyBorder="1" applyAlignment="1">
      <alignment horizontal="right" vertical="top" wrapText="1"/>
    </xf>
    <xf numFmtId="0" fontId="0" fillId="4" borderId="7" xfId="0" applyFill="1" applyBorder="1" applyAlignment="1">
      <alignment horizontal="right" vertical="top" wrapText="1"/>
    </xf>
    <xf numFmtId="0" fontId="0" fillId="4" borderId="1" xfId="0" applyFill="1" applyBorder="1" applyAlignment="1">
      <alignment horizontal="right" vertical="top" wrapText="1"/>
    </xf>
    <xf numFmtId="49" fontId="19" fillId="4" borderId="7" xfId="0" applyNumberFormat="1" applyFont="1" applyFill="1" applyBorder="1" applyAlignment="1">
      <alignment horizontal="left" vertical="top" wrapText="1"/>
    </xf>
    <xf numFmtId="165" fontId="19" fillId="4" borderId="7" xfId="0" applyNumberFormat="1" applyFont="1" applyFill="1" applyBorder="1" applyAlignment="1">
      <alignment horizontal="left" vertical="center"/>
    </xf>
    <xf numFmtId="165" fontId="19" fillId="4" borderId="30" xfId="0" applyNumberFormat="1" applyFont="1" applyFill="1" applyBorder="1" applyAlignment="1">
      <alignment horizontal="left" vertical="center"/>
    </xf>
    <xf numFmtId="1" fontId="19" fillId="4" borderId="7" xfId="0" applyNumberFormat="1" applyFont="1" applyFill="1" applyBorder="1" applyAlignment="1">
      <alignment horizontal="right" vertical="center"/>
    </xf>
    <xf numFmtId="49" fontId="19" fillId="4" borderId="7" xfId="0" applyNumberFormat="1" applyFont="1" applyFill="1" applyBorder="1" applyAlignment="1">
      <alignment horizontal="left" vertical="center" wrapText="1"/>
    </xf>
    <xf numFmtId="166" fontId="19" fillId="4" borderId="7" xfId="0" applyNumberFormat="1" applyFont="1" applyFill="1" applyBorder="1" applyAlignment="1">
      <alignment horizontal="center" vertical="center"/>
    </xf>
    <xf numFmtId="49" fontId="12" fillId="7" borderId="21" xfId="0" applyNumberFormat="1" applyFont="1" applyFill="1" applyBorder="1" applyAlignment="1">
      <alignment horizontal="center" wrapText="1"/>
    </xf>
    <xf numFmtId="0" fontId="12" fillId="7" borderId="23" xfId="0" applyFont="1" applyFill="1" applyBorder="1" applyAlignment="1">
      <alignment horizontal="center" wrapText="1"/>
    </xf>
    <xf numFmtId="0" fontId="0" fillId="4" borderId="18" xfId="0" applyFill="1" applyBorder="1" applyAlignment="1">
      <alignment horizontal="left" wrapText="1"/>
    </xf>
    <xf numFmtId="0" fontId="0" fillId="4" borderId="19" xfId="0" applyFill="1" applyBorder="1" applyAlignment="1">
      <alignment horizontal="left" wrapText="1"/>
    </xf>
    <xf numFmtId="0" fontId="0" fillId="4" borderId="20" xfId="0" applyFill="1" applyBorder="1" applyAlignment="1">
      <alignment horizontal="left" wrapText="1"/>
    </xf>
    <xf numFmtId="49" fontId="12" fillId="8" borderId="21" xfId="0" applyNumberFormat="1" applyFont="1" applyFill="1" applyBorder="1" applyAlignment="1">
      <alignment horizontal="left" vertical="top" wrapText="1"/>
    </xf>
    <xf numFmtId="0" fontId="12" fillId="8" borderId="22" xfId="0" applyFont="1" applyFill="1" applyBorder="1" applyAlignment="1">
      <alignment horizontal="left" vertical="top" wrapText="1"/>
    </xf>
    <xf numFmtId="0" fontId="12" fillId="8" borderId="23" xfId="0" applyFont="1" applyFill="1" applyBorder="1" applyAlignment="1">
      <alignment horizontal="left" vertical="top" wrapText="1"/>
    </xf>
    <xf numFmtId="165" fontId="15" fillId="8" borderId="21" xfId="0" applyNumberFormat="1" applyFont="1" applyFill="1" applyBorder="1">
      <alignment horizontal="left" vertical="top"/>
    </xf>
    <xf numFmtId="165" fontId="15" fillId="8" borderId="22" xfId="0" applyNumberFormat="1" applyFont="1" applyFill="1" applyBorder="1">
      <alignment horizontal="left" vertical="top"/>
    </xf>
    <xf numFmtId="165" fontId="15" fillId="8" borderId="23" xfId="0" applyNumberFormat="1" applyFont="1" applyFill="1" applyBorder="1">
      <alignment horizontal="left" vertical="top"/>
    </xf>
    <xf numFmtId="165" fontId="12" fillId="8" borderId="21" xfId="0" applyNumberFormat="1" applyFont="1" applyFill="1" applyBorder="1" applyAlignment="1">
      <alignment horizontal="center" vertical="top"/>
    </xf>
    <xf numFmtId="165" fontId="12" fillId="8" borderId="23" xfId="0" applyNumberFormat="1" applyFont="1" applyFill="1" applyBorder="1" applyAlignment="1">
      <alignment horizontal="center" vertical="top"/>
    </xf>
    <xf numFmtId="49" fontId="12" fillId="7" borderId="21" xfId="0" applyNumberFormat="1" applyFont="1" applyFill="1" applyBorder="1" applyAlignment="1">
      <alignment horizontal="left" vertical="top" wrapText="1" indent="20"/>
    </xf>
    <xf numFmtId="165" fontId="12" fillId="7" borderId="21" xfId="0" applyNumberFormat="1" applyFont="1" applyFill="1" applyBorder="1">
      <alignment horizontal="left" vertical="top"/>
    </xf>
    <xf numFmtId="165" fontId="12" fillId="7" borderId="22" xfId="0" applyNumberFormat="1" applyFont="1" applyFill="1" applyBorder="1">
      <alignment horizontal="left" vertical="top"/>
    </xf>
    <xf numFmtId="165" fontId="12" fillId="7" borderId="23" xfId="0" applyNumberFormat="1" applyFont="1" applyFill="1" applyBorder="1">
      <alignment horizontal="left" vertical="top"/>
    </xf>
    <xf numFmtId="165" fontId="12" fillId="7" borderId="21" xfId="0" applyNumberFormat="1" applyFont="1" applyFill="1" applyBorder="1" applyAlignment="1">
      <alignment horizontal="center" vertical="top"/>
    </xf>
    <xf numFmtId="165" fontId="12" fillId="7" borderId="23" xfId="0" applyNumberFormat="1" applyFont="1" applyFill="1" applyBorder="1" applyAlignment="1">
      <alignment horizontal="center" vertical="top"/>
    </xf>
    <xf numFmtId="0" fontId="0" fillId="4" borderId="2" xfId="0" applyFill="1" applyBorder="1" applyAlignment="1">
      <alignment horizontal="left" vertical="center" wrapText="1"/>
    </xf>
    <xf numFmtId="49" fontId="15" fillId="8" borderId="21" xfId="0" applyNumberFormat="1" applyFont="1" applyFill="1" applyBorder="1" applyAlignment="1">
      <alignment horizontal="left" vertical="top" wrapText="1"/>
    </xf>
    <xf numFmtId="0" fontId="15" fillId="8" borderId="22" xfId="0" applyFont="1" applyFill="1" applyBorder="1" applyAlignment="1">
      <alignment horizontal="left" vertical="top" wrapText="1"/>
    </xf>
    <xf numFmtId="0" fontId="15" fillId="8" borderId="23" xfId="0" applyFont="1" applyFill="1" applyBorder="1" applyAlignment="1">
      <alignment horizontal="left" vertical="top" wrapText="1"/>
    </xf>
    <xf numFmtId="0" fontId="0" fillId="4" borderId="24" xfId="0" applyFill="1" applyBorder="1" applyAlignment="1">
      <alignment horizontal="left" vertical="center" wrapText="1"/>
    </xf>
    <xf numFmtId="49" fontId="12" fillId="6" borderId="3" xfId="0" applyNumberFormat="1" applyFont="1" applyFill="1" applyBorder="1" applyAlignment="1">
      <alignment horizontal="center" vertical="top" wrapText="1"/>
    </xf>
    <xf numFmtId="0" fontId="12" fillId="6" borderId="4" xfId="0" applyFont="1" applyFill="1" applyBorder="1" applyAlignment="1">
      <alignment horizontal="center" vertical="top" wrapText="1"/>
    </xf>
    <xf numFmtId="0" fontId="0" fillId="4" borderId="6" xfId="0" applyFill="1" applyBorder="1" applyAlignment="1">
      <alignment horizontal="left" vertical="center" wrapText="1"/>
    </xf>
    <xf numFmtId="49" fontId="12" fillId="5" borderId="25" xfId="0" applyNumberFormat="1" applyFont="1" applyFill="1" applyBorder="1" applyAlignment="1">
      <alignment horizontal="left" vertical="top" wrapText="1"/>
    </xf>
    <xf numFmtId="0" fontId="12" fillId="5" borderId="26" xfId="0" applyFont="1" applyFill="1" applyBorder="1" applyAlignment="1">
      <alignment horizontal="left" vertical="top" wrapText="1"/>
    </xf>
    <xf numFmtId="0" fontId="12" fillId="5" borderId="27" xfId="0" applyFont="1" applyFill="1" applyBorder="1" applyAlignment="1">
      <alignment horizontal="left" vertical="top" wrapText="1"/>
    </xf>
    <xf numFmtId="49" fontId="16" fillId="5" borderId="25" xfId="0" applyNumberFormat="1" applyFont="1" applyFill="1" applyBorder="1" applyAlignment="1">
      <alignment horizontal="center" vertical="center" wrapText="1"/>
    </xf>
    <xf numFmtId="0" fontId="16" fillId="5" borderId="27" xfId="0" applyFont="1" applyFill="1" applyBorder="1" applyAlignment="1">
      <alignment horizontal="center" vertical="center" wrapText="1"/>
    </xf>
    <xf numFmtId="49" fontId="12" fillId="5" borderId="14" xfId="0" applyNumberFormat="1" applyFont="1" applyFill="1" applyBorder="1" applyAlignment="1">
      <alignment horizontal="left" vertical="top" wrapText="1" indent="2"/>
    </xf>
    <xf numFmtId="0" fontId="0" fillId="4" borderId="5" xfId="0" applyFill="1" applyBorder="1" applyAlignment="1">
      <alignment horizontal="left" vertical="top" wrapText="1"/>
    </xf>
    <xf numFmtId="49" fontId="12" fillId="7" borderId="21" xfId="0" applyNumberFormat="1" applyFont="1" applyFill="1" applyBorder="1" applyAlignment="1">
      <alignment horizontal="left" vertical="top" wrapText="1" indent="14"/>
    </xf>
    <xf numFmtId="0" fontId="0" fillId="7" borderId="21" xfId="0" applyFill="1" applyBorder="1" applyAlignment="1">
      <alignment horizontal="left" wrapText="1"/>
    </xf>
    <xf numFmtId="0" fontId="0" fillId="7" borderId="22" xfId="0" applyFill="1" applyBorder="1" applyAlignment="1">
      <alignment horizontal="left" wrapText="1"/>
    </xf>
    <xf numFmtId="0" fontId="0" fillId="7" borderId="23" xfId="0" applyFill="1" applyBorder="1" applyAlignment="1">
      <alignment horizontal="left" wrapText="1"/>
    </xf>
    <xf numFmtId="165" fontId="12" fillId="7" borderId="22" xfId="0" applyNumberFormat="1" applyFont="1" applyFill="1" applyBorder="1" applyAlignment="1">
      <alignment horizontal="center" vertical="top"/>
    </xf>
    <xf numFmtId="49" fontId="12" fillId="4" borderId="18" xfId="0" applyNumberFormat="1" applyFont="1" applyFill="1" applyBorder="1" applyAlignment="1">
      <alignment horizontal="left" vertical="top" wrapText="1"/>
    </xf>
    <xf numFmtId="0" fontId="12" fillId="4" borderId="19" xfId="0" applyFont="1" applyFill="1" applyBorder="1" applyAlignment="1">
      <alignment horizontal="left" vertical="top" wrapText="1"/>
    </xf>
    <xf numFmtId="0" fontId="12" fillId="4" borderId="20" xfId="0" applyFont="1" applyFill="1" applyBorder="1" applyAlignment="1">
      <alignment horizontal="left" vertical="top" wrapText="1"/>
    </xf>
    <xf numFmtId="3" fontId="15" fillId="0" borderId="18" xfId="0" applyNumberFormat="1" applyFont="1" applyBorder="1" applyAlignment="1">
      <alignment horizontal="right" vertical="top"/>
    </xf>
    <xf numFmtId="3" fontId="15" fillId="0" borderId="19" xfId="0" applyNumberFormat="1" applyFont="1" applyBorder="1" applyAlignment="1">
      <alignment horizontal="right" vertical="top"/>
    </xf>
    <xf numFmtId="3" fontId="15" fillId="0" borderId="20" xfId="0" applyNumberFormat="1" applyFont="1" applyBorder="1" applyAlignment="1">
      <alignment horizontal="right" vertical="top"/>
    </xf>
    <xf numFmtId="165" fontId="12" fillId="0" borderId="18" xfId="0" applyNumberFormat="1" applyFont="1" applyBorder="1" applyAlignment="1">
      <alignment horizontal="center" vertical="top"/>
    </xf>
    <xf numFmtId="165" fontId="12" fillId="0" borderId="19" xfId="0" applyNumberFormat="1" applyFont="1" applyBorder="1" applyAlignment="1">
      <alignment horizontal="center" vertical="top"/>
    </xf>
    <xf numFmtId="165" fontId="12" fillId="0" borderId="20" xfId="0" applyNumberFormat="1" applyFont="1" applyBorder="1" applyAlignment="1">
      <alignment horizontal="center" vertical="top"/>
    </xf>
    <xf numFmtId="0" fontId="0" fillId="4" borderId="2" xfId="0" applyFill="1" applyBorder="1" applyAlignment="1">
      <alignment horizontal="left" wrapText="1"/>
    </xf>
    <xf numFmtId="0" fontId="0" fillId="4" borderId="9" xfId="0" applyFill="1" applyBorder="1" applyAlignment="1">
      <alignment horizontal="left" wrapText="1"/>
    </xf>
    <xf numFmtId="49" fontId="12" fillId="4" borderId="10" xfId="0" applyNumberFormat="1" applyFont="1" applyFill="1" applyBorder="1" applyAlignment="1">
      <alignment horizontal="center" vertical="top" wrapText="1"/>
    </xf>
    <xf numFmtId="0" fontId="12" fillId="4" borderId="11" xfId="0" applyFont="1" applyFill="1" applyBorder="1" applyAlignment="1">
      <alignment horizontal="center" vertical="top" wrapText="1"/>
    </xf>
    <xf numFmtId="0" fontId="12" fillId="4" borderId="12" xfId="0" applyFont="1" applyFill="1" applyBorder="1" applyAlignment="1">
      <alignment horizontal="center" vertical="top" wrapText="1"/>
    </xf>
    <xf numFmtId="49" fontId="16" fillId="5" borderId="14" xfId="0" applyNumberFormat="1" applyFont="1" applyFill="1" applyBorder="1" applyAlignment="1">
      <alignment horizontal="left" vertical="center" wrapText="1"/>
    </xf>
    <xf numFmtId="0" fontId="16" fillId="5" borderId="4" xfId="0" applyFont="1" applyFill="1" applyBorder="1" applyAlignment="1">
      <alignment horizontal="left" vertical="center" wrapText="1"/>
    </xf>
    <xf numFmtId="0" fontId="16" fillId="5" borderId="15" xfId="0" applyFont="1" applyFill="1" applyBorder="1" applyAlignment="1">
      <alignment horizontal="left" vertical="center" wrapText="1"/>
    </xf>
    <xf numFmtId="49" fontId="0" fillId="5" borderId="14" xfId="0" applyNumberFormat="1" applyFill="1" applyBorder="1" applyAlignment="1">
      <alignment horizontal="left" vertical="top" wrapText="1"/>
    </xf>
    <xf numFmtId="0" fontId="0" fillId="5" borderId="4" xfId="0" applyFill="1" applyBorder="1" applyAlignment="1">
      <alignment horizontal="left" vertical="top" wrapText="1"/>
    </xf>
    <xf numFmtId="0" fontId="0" fillId="5" borderId="15" xfId="0" applyFill="1" applyBorder="1" applyAlignment="1">
      <alignment horizontal="left" vertical="top" wrapText="1"/>
    </xf>
    <xf numFmtId="49" fontId="12" fillId="4" borderId="16" xfId="0" applyNumberFormat="1" applyFont="1" applyFill="1" applyBorder="1" applyAlignment="1">
      <alignment horizontal="left" vertical="top" wrapText="1"/>
    </xf>
    <xf numFmtId="0" fontId="12" fillId="4" borderId="8" xfId="0" applyFont="1" applyFill="1" applyBorder="1" applyAlignment="1">
      <alignment horizontal="left" vertical="top" wrapText="1"/>
    </xf>
    <xf numFmtId="0" fontId="12" fillId="4" borderId="17" xfId="0" applyFont="1" applyFill="1" applyBorder="1" applyAlignment="1">
      <alignment horizontal="left" vertical="top" wrapText="1"/>
    </xf>
    <xf numFmtId="3" fontId="15" fillId="0" borderId="16" xfId="0" applyNumberFormat="1" applyFont="1" applyBorder="1" applyAlignment="1">
      <alignment horizontal="right" vertical="top"/>
    </xf>
    <xf numFmtId="3" fontId="15" fillId="0" borderId="8" xfId="0" applyNumberFormat="1" applyFont="1" applyBorder="1" applyAlignment="1">
      <alignment horizontal="right" vertical="top"/>
    </xf>
    <xf numFmtId="3" fontId="15" fillId="0" borderId="17" xfId="0" applyNumberFormat="1" applyFont="1" applyBorder="1" applyAlignment="1">
      <alignment horizontal="right" vertical="top"/>
    </xf>
    <xf numFmtId="165" fontId="12" fillId="0" borderId="16" xfId="0" applyNumberFormat="1" applyFont="1" applyBorder="1" applyAlignment="1">
      <alignment horizontal="center" vertical="top"/>
    </xf>
    <xf numFmtId="165" fontId="12" fillId="0" borderId="8" xfId="0" applyNumberFormat="1" applyFont="1" applyBorder="1" applyAlignment="1">
      <alignment horizontal="center" vertical="top"/>
    </xf>
    <xf numFmtId="165" fontId="12" fillId="0" borderId="17" xfId="0" applyNumberFormat="1" applyFont="1" applyBorder="1" applyAlignment="1">
      <alignment horizontal="center" vertical="top"/>
    </xf>
    <xf numFmtId="49" fontId="12" fillId="5" borderId="3" xfId="0" applyNumberFormat="1" applyFont="1" applyFill="1" applyBorder="1" applyAlignment="1">
      <alignment horizontal="left" vertical="top" wrapText="1"/>
    </xf>
    <xf numFmtId="49" fontId="15" fillId="4" borderId="7" xfId="0" applyNumberFormat="1" applyFont="1" applyFill="1" applyBorder="1" applyAlignment="1">
      <alignment horizontal="left" vertical="center" wrapText="1" indent="2"/>
    </xf>
    <xf numFmtId="0" fontId="15" fillId="4" borderId="7" xfId="0" applyFont="1" applyFill="1" applyBorder="1" applyAlignment="1">
      <alignment horizontal="left" vertical="center" wrapText="1"/>
    </xf>
    <xf numFmtId="0" fontId="15" fillId="4" borderId="1" xfId="0" applyFont="1" applyFill="1" applyBorder="1" applyAlignment="1">
      <alignment horizontal="left" vertical="center" wrapText="1"/>
    </xf>
    <xf numFmtId="49" fontId="0" fillId="4" borderId="1" xfId="0" applyNumberFormat="1" applyFill="1" applyBorder="1" applyAlignment="1">
      <alignment horizontal="left" vertical="top" wrapText="1" indent="4"/>
    </xf>
    <xf numFmtId="49" fontId="15" fillId="4" borderId="2" xfId="0" applyNumberFormat="1" applyFont="1" applyFill="1" applyBorder="1" applyAlignment="1">
      <alignment horizontal="left" vertical="top" wrapText="1" indent="4"/>
    </xf>
    <xf numFmtId="0" fontId="15" fillId="4" borderId="2" xfId="0" applyFont="1" applyFill="1" applyBorder="1" applyAlignment="1">
      <alignment horizontal="left" vertical="top" wrapText="1"/>
    </xf>
    <xf numFmtId="0" fontId="15" fillId="4" borderId="1" xfId="0" applyFont="1" applyFill="1" applyBorder="1" applyAlignment="1">
      <alignment horizontal="left" vertical="top" wrapText="1"/>
    </xf>
    <xf numFmtId="49" fontId="0" fillId="4" borderId="2" xfId="0" applyNumberFormat="1" applyFill="1" applyBorder="1" applyAlignment="1">
      <alignment horizontal="left" vertical="top" wrapText="1" indent="4"/>
    </xf>
    <xf numFmtId="0" fontId="0" fillId="4" borderId="2" xfId="0" applyFill="1" applyBorder="1" applyAlignment="1">
      <alignment horizontal="left" vertical="top" wrapText="1"/>
    </xf>
    <xf numFmtId="49" fontId="0" fillId="4" borderId="2" xfId="0" applyNumberFormat="1" applyFill="1" applyBorder="1" applyAlignment="1">
      <alignment horizontal="left" vertical="center" wrapText="1"/>
    </xf>
    <xf numFmtId="49" fontId="4" fillId="4" borderId="1" xfId="0" applyNumberFormat="1" applyFont="1" applyFill="1" applyBorder="1" applyAlignment="1">
      <alignment horizontal="left" vertical="top" wrapText="1" indent="46"/>
    </xf>
    <xf numFmtId="0" fontId="4" fillId="4" borderId="1" xfId="0" applyFont="1" applyFill="1" applyBorder="1" applyAlignment="1">
      <alignment horizontal="left" vertical="top" wrapText="1"/>
    </xf>
    <xf numFmtId="49" fontId="0" fillId="4" borderId="2" xfId="0" applyNumberFormat="1" applyFill="1" applyBorder="1" applyAlignment="1">
      <alignment horizontal="center" vertical="top" wrapText="1"/>
    </xf>
    <xf numFmtId="0" fontId="0" fillId="4" borderId="2" xfId="0" applyFill="1" applyBorder="1" applyAlignment="1">
      <alignment horizontal="center" vertical="top" wrapText="1"/>
    </xf>
    <xf numFmtId="0" fontId="0" fillId="5" borderId="3" xfId="0" applyFill="1" applyBorder="1" applyAlignment="1">
      <alignment horizontal="left" wrapText="1"/>
    </xf>
    <xf numFmtId="49" fontId="0" fillId="4" borderId="6" xfId="0" applyNumberFormat="1" applyFill="1" applyBorder="1" applyAlignment="1">
      <alignment horizontal="center" vertical="top" wrapText="1"/>
    </xf>
    <xf numFmtId="0" fontId="0" fillId="4" borderId="6" xfId="0" applyFill="1" applyBorder="1" applyAlignment="1">
      <alignment horizontal="center" vertical="top" wrapText="1"/>
    </xf>
    <xf numFmtId="49" fontId="9" fillId="5" borderId="3" xfId="0" applyNumberFormat="1" applyFont="1" applyFill="1" applyBorder="1" applyAlignment="1">
      <alignment horizontal="center" vertical="top" wrapText="1"/>
    </xf>
    <xf numFmtId="0" fontId="9" fillId="5" borderId="4" xfId="0" applyFont="1" applyFill="1" applyBorder="1" applyAlignment="1">
      <alignment horizontal="center" vertical="top" wrapText="1"/>
    </xf>
    <xf numFmtId="49" fontId="0" fillId="4" borderId="2" xfId="0" applyNumberFormat="1" applyFill="1" applyBorder="1" applyAlignment="1">
      <alignment horizontal="left" vertical="top" wrapText="1"/>
    </xf>
    <xf numFmtId="0" fontId="0" fillId="4" borderId="6" xfId="0" applyFill="1" applyBorder="1" applyAlignment="1">
      <alignment horizontal="left" wrapText="1"/>
    </xf>
    <xf numFmtId="49" fontId="15" fillId="4" borderId="6" xfId="0" applyNumberFormat="1" applyFont="1" applyFill="1" applyBorder="1" applyAlignment="1">
      <alignment horizontal="left" vertical="center" wrapText="1" indent="2"/>
    </xf>
    <xf numFmtId="0" fontId="15" fillId="4" borderId="6" xfId="0" applyFont="1" applyFill="1" applyBorder="1" applyAlignment="1">
      <alignment horizontal="left" vertical="center" wrapText="1"/>
    </xf>
    <xf numFmtId="0" fontId="23" fillId="0" borderId="0" xfId="0" applyFont="1" applyAlignment="1">
      <alignment horizontal="center" vertical="center"/>
    </xf>
  </cellXfs>
  <cellStyles count="1">
    <cellStyle name="Normal" xfId="0" builtinId="0"/>
  </cellStyles>
  <dxfs count="17">
    <dxf>
      <font>
        <b/>
        <color rgb="FF000000"/>
      </font>
      <fill>
        <patternFill patternType="solid">
          <fgColor indexed="31"/>
          <bgColor indexed="24"/>
        </patternFill>
      </fill>
      <border>
        <left style="thin">
          <color indexed="25"/>
        </left>
        <right style="thin">
          <color indexed="25"/>
        </right>
        <top style="thin">
          <color indexed="26"/>
        </top>
        <bottom style="thin">
          <color indexed="32"/>
        </bottom>
        <vertical style="thin">
          <color indexed="30"/>
        </vertical>
        <horizontal/>
      </border>
    </dxf>
    <dxf>
      <font>
        <color rgb="FF000000"/>
      </font>
      <border>
        <left/>
        <right/>
        <top style="thin">
          <color indexed="32"/>
        </top>
        <bottom style="thin">
          <color indexed="32"/>
        </bottom>
      </border>
    </dxf>
    <dxf>
      <font>
        <color rgb="FF000000"/>
      </font>
      <border>
        <left/>
        <right/>
        <top style="thin">
          <color indexed="32"/>
        </top>
        <bottom style="thin">
          <color indexed="32"/>
        </bottom>
      </border>
    </dxf>
    <dxf>
      <font>
        <color rgb="FF000000"/>
      </font>
      <border>
        <left/>
        <right/>
        <top style="thin">
          <color indexed="32"/>
        </top>
        <bottom style="thin">
          <color indexed="32"/>
        </bottom>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25"/>
        </top>
        <bottom style="thin">
          <color indexed="25"/>
        </bottom>
        <vertical/>
        <horizontal style="thin">
          <color indexed="25"/>
        </horizontal>
      </border>
    </dxf>
    <dxf>
      <font>
        <b/>
        <color rgb="FF000000"/>
      </font>
      <border>
        <left style="thin">
          <color indexed="25"/>
        </left>
        <right style="thin">
          <color indexed="13"/>
        </right>
        <top style="thin">
          <color indexed="25"/>
        </top>
        <bottom style="thin">
          <color indexed="25"/>
        </bottom>
        <vertical/>
        <horizontal style="thin">
          <color indexed="25"/>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5"/>
        </left>
        <right style="thin">
          <color indexed="25"/>
        </right>
        <top style="thin">
          <color indexed="25"/>
        </top>
        <bottom style="thin">
          <color indexed="26"/>
        </bottom>
        <vertical style="thin">
          <color indexed="27"/>
        </vertical>
        <horizontal/>
      </border>
    </dxf>
    <dxf>
      <font>
        <color rgb="FF000000"/>
      </font>
      <border>
        <left style="thin">
          <color indexed="25"/>
        </left>
        <right style="thin">
          <color indexed="25"/>
        </right>
        <top style="thin">
          <color indexed="25"/>
        </top>
        <bottom style="thin">
          <color indexed="25"/>
        </bottom>
        <vertical style="thin">
          <color indexed="28"/>
        </vertical>
        <horizontal style="thin">
          <color indexed="25"/>
        </horizontal>
      </border>
    </dxf>
  </dxfs>
  <tableStyles count="1">
    <tableStyle name="PivotStyleCustom01" count="17" xr9:uid="{00000000-0011-0000-FFFF-FFFF00000000}">
      <tableStyleElement type="wholeTable" dxfId="16"/>
      <tableStyleElement type="headerRow" dxfId="15"/>
      <tableStyleElement type="totalRow" dxfId="0"/>
      <tableStyleElement type="firstColumn" dxfId="11"/>
      <tableStyleElement type="lastColumn" dxfId="10"/>
      <tableStyleElement type="firstSubtotalColumn" dxfId="6"/>
      <tableStyleElement type="secondSubtotalColumn" dxfId="5"/>
      <tableStyleElement type="thirdSubtotalColumn" dxfId="4"/>
      <tableStyleElement type="firstSubtotalRow" dxfId="3"/>
      <tableStyleElement type="secondSubtotalRow" dxfId="2"/>
      <tableStyleElement type="thirdSubtotalRow" dxfId="1"/>
      <tableStyleElement type="firstColumnSubheading" dxfId="14"/>
      <tableStyleElement type="secondColumnSubheading" dxfId="13"/>
      <tableStyleElement type="thirdColumnSubheading" dxfId="12"/>
      <tableStyleElement type="firstRowSubheading" dxfId="9"/>
      <tableStyleElement type="secondRowSubheading" dxfId="8"/>
      <tableStyleElement type="thirdRowSubheading"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1F1F1"/>
      <rgbColor rgb="FFBEBEBE"/>
      <rgbColor rgb="FFB7DEE8"/>
      <rgbColor rgb="FF4BACC6"/>
      <rgbColor rgb="FF92CDDC"/>
      <rgbColor rgb="FFDAEEF3"/>
      <rgbColor rgb="FFF79646"/>
      <rgbColor rgb="FFFABF8F"/>
      <rgbColor rgb="FFFDE9D9"/>
      <rgbColor rgb="FFFFFF00"/>
      <rgbColor rgb="FFDBE5F1"/>
      <rgbColor rgb="FFD4D4D4"/>
      <rgbColor rgb="FF95B3D7"/>
      <rgbColor rgb="FFCAD9EB"/>
      <rgbColor rgb="FFDFDFDF"/>
      <rgbColor rgb="FFA4ACB5"/>
      <rgbColor rgb="FFD1D5DA"/>
      <rgbColor rgb="00000000"/>
      <rgbColor rgb="FF4F81BD"/>
      <rgbColor rgb="FFD8D8D8"/>
      <rgbColor rgb="FFBFBFBF"/>
      <rgbColor rgb="FFFFC000"/>
      <rgbColor rgb="FFD6D4CA"/>
      <rgbColor rgb="FFC0504D"/>
      <rgbColor rgb="FF9BBB59"/>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447967</xdr:colOff>
      <xdr:row>0</xdr:row>
      <xdr:rowOff>632</xdr:rowOff>
    </xdr:from>
    <xdr:to>
      <xdr:col>0</xdr:col>
      <xdr:colOff>1569998</xdr:colOff>
      <xdr:row>1</xdr:row>
      <xdr:rowOff>511695</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47966" y="632"/>
          <a:ext cx="1122033" cy="828564"/>
        </a:xfrm>
        <a:prstGeom prst="rect">
          <a:avLst/>
        </a:prstGeom>
        <a:ln w="12700" cap="flat">
          <a:noFill/>
          <a:miter lim="400000"/>
        </a:ln>
        <a:effectLst/>
      </xdr:spPr>
    </xdr:pic>
    <xdr:clientData/>
  </xdr:twoCellAnchor>
  <xdr:twoCellAnchor>
    <xdr:from>
      <xdr:col>0</xdr:col>
      <xdr:colOff>2528823</xdr:colOff>
      <xdr:row>0</xdr:row>
      <xdr:rowOff>239649</xdr:rowOff>
    </xdr:from>
    <xdr:to>
      <xdr:col>10</xdr:col>
      <xdr:colOff>33779</xdr:colOff>
      <xdr:row>0</xdr:row>
      <xdr:rowOff>269240</xdr:rowOff>
    </xdr:to>
    <xdr:sp macro="" textlink="">
      <xdr:nvSpPr>
        <xdr:cNvPr id="3" name="Shape 3">
          <a:extLst>
            <a:ext uri="{FF2B5EF4-FFF2-40B4-BE49-F238E27FC236}">
              <a16:creationId xmlns:a16="http://schemas.microsoft.com/office/drawing/2014/main" id="{00000000-0008-0000-0100-000003000000}"/>
            </a:ext>
          </a:extLst>
        </xdr:cNvPr>
        <xdr:cNvSpPr/>
      </xdr:nvSpPr>
      <xdr:spPr>
        <a:xfrm>
          <a:off x="2528822" y="239649"/>
          <a:ext cx="3880358" cy="29592"/>
        </a:xfrm>
        <a:prstGeom prst="rect">
          <a:avLst/>
        </a:prstGeom>
        <a:solidFill>
          <a:srgbClr val="0000FF"/>
        </a:solidFill>
        <a:ln w="12700" cap="flat">
          <a:noFill/>
          <a:miter lim="400000"/>
        </a:ln>
        <a:effectLst/>
      </xdr:spPr>
      <xdr:txBody>
        <a:bodyPr/>
        <a:lstStyle/>
        <a:p>
          <a:endParaRPr/>
        </a:p>
      </xdr:txBody>
    </xdr:sp>
    <xdr:clientData/>
  </xdr:twoCellAnchor>
  <xdr:twoCellAnchor>
    <xdr:from>
      <xdr:col>0</xdr:col>
      <xdr:colOff>523429</xdr:colOff>
      <xdr:row>4</xdr:row>
      <xdr:rowOff>5192394</xdr:rowOff>
    </xdr:from>
    <xdr:to>
      <xdr:col>12</xdr:col>
      <xdr:colOff>144335</xdr:colOff>
      <xdr:row>5</xdr:row>
      <xdr:rowOff>26412</xdr:rowOff>
    </xdr:to>
    <xdr:sp macro="" textlink="">
      <xdr:nvSpPr>
        <xdr:cNvPr id="4" name="Shape 4">
          <a:extLst>
            <a:ext uri="{FF2B5EF4-FFF2-40B4-BE49-F238E27FC236}">
              <a16:creationId xmlns:a16="http://schemas.microsoft.com/office/drawing/2014/main" id="{00000000-0008-0000-0100-000004000000}"/>
            </a:ext>
          </a:extLst>
        </xdr:cNvPr>
        <xdr:cNvSpPr/>
      </xdr:nvSpPr>
      <xdr:spPr>
        <a:xfrm>
          <a:off x="523429" y="7608568"/>
          <a:ext cx="6720207" cy="28320"/>
        </a:xfrm>
        <a:prstGeom prst="rect">
          <a:avLst/>
        </a:prstGeom>
        <a:solidFill>
          <a:srgbClr val="0000FF"/>
        </a:solidFill>
        <a:ln w="12700" cap="flat">
          <a:noFill/>
          <a:miter lim="400000"/>
        </a:ln>
        <a:effectLst/>
      </xdr:spPr>
      <xdr:txBody>
        <a:bodyPr/>
        <a:lstStyle/>
        <a:p>
          <a:endParaRPr/>
        </a:p>
      </xdr:txBody>
    </xdr:sp>
    <xdr:clientData/>
  </xdr:twoCellAnchor>
  <xdr:twoCellAnchor>
    <xdr:from>
      <xdr:col>0</xdr:col>
      <xdr:colOff>0</xdr:colOff>
      <xdr:row>4</xdr:row>
      <xdr:rowOff>1997329</xdr:rowOff>
    </xdr:from>
    <xdr:to>
      <xdr:col>11</xdr:col>
      <xdr:colOff>79247</xdr:colOff>
      <xdr:row>4</xdr:row>
      <xdr:rowOff>2845435</xdr:rowOff>
    </xdr:to>
    <xdr:pic>
      <xdr:nvPicPr>
        <xdr:cNvPr id="5" name="image2.png" descr="image2.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0" y="4413504"/>
          <a:ext cx="6746748" cy="848107"/>
        </a:xfrm>
        <a:prstGeom prst="rect">
          <a:avLst/>
        </a:prstGeom>
        <a:ln w="12700" cap="flat">
          <a:noFill/>
          <a:miter lim="400000"/>
        </a:ln>
        <a:effectLst/>
      </xdr:spPr>
    </xdr:pic>
    <xdr:clientData/>
  </xdr:twoCellAnchor>
  <xdr:twoCellAnchor>
    <xdr:from>
      <xdr:col>0</xdr:col>
      <xdr:colOff>0</xdr:colOff>
      <xdr:row>9</xdr:row>
      <xdr:rowOff>86613</xdr:rowOff>
    </xdr:from>
    <xdr:to>
      <xdr:col>9</xdr:col>
      <xdr:colOff>536828</xdr:colOff>
      <xdr:row>9</xdr:row>
      <xdr:rowOff>110996</xdr:rowOff>
    </xdr:to>
    <xdr:sp macro="" textlink="">
      <xdr:nvSpPr>
        <xdr:cNvPr id="6" name="Shape 6">
          <a:extLst>
            <a:ext uri="{FF2B5EF4-FFF2-40B4-BE49-F238E27FC236}">
              <a16:creationId xmlns:a16="http://schemas.microsoft.com/office/drawing/2014/main" id="{00000000-0008-0000-0100-000006000000}"/>
            </a:ext>
          </a:extLst>
        </xdr:cNvPr>
        <xdr:cNvSpPr/>
      </xdr:nvSpPr>
      <xdr:spPr>
        <a:xfrm>
          <a:off x="-1" y="8998838"/>
          <a:ext cx="6188330" cy="24384"/>
        </a:xfrm>
        <a:prstGeom prst="rect">
          <a:avLst/>
        </a:prstGeom>
        <a:solidFill>
          <a:srgbClr val="000000"/>
        </a:solidFill>
        <a:ln w="12700" cap="flat">
          <a:noFill/>
          <a:miter lim="400000"/>
        </a:ln>
        <a:effectLst/>
      </xdr:spPr>
      <xdr:txBody>
        <a:bodyPr/>
        <a:lstStyle/>
        <a:p>
          <a:endParaRPr/>
        </a:p>
      </xdr:txBody>
    </xdr:sp>
    <xdr:clientData/>
  </xdr:twoCellAnchor>
  <xdr:twoCellAnchor>
    <xdr:from>
      <xdr:col>11</xdr:col>
      <xdr:colOff>135444</xdr:colOff>
      <xdr:row>338</xdr:row>
      <xdr:rowOff>200532</xdr:rowOff>
    </xdr:from>
    <xdr:to>
      <xdr:col>11</xdr:col>
      <xdr:colOff>148144</xdr:colOff>
      <xdr:row>339</xdr:row>
      <xdr:rowOff>24763</xdr:rowOff>
    </xdr:to>
    <xdr:grpSp>
      <xdr:nvGrpSpPr>
        <xdr:cNvPr id="9" name="Group 7">
          <a:extLst>
            <a:ext uri="{FF2B5EF4-FFF2-40B4-BE49-F238E27FC236}">
              <a16:creationId xmlns:a16="http://schemas.microsoft.com/office/drawing/2014/main" id="{00000000-0008-0000-0100-000009000000}"/>
            </a:ext>
          </a:extLst>
        </xdr:cNvPr>
        <xdr:cNvGrpSpPr/>
      </xdr:nvGrpSpPr>
      <xdr:grpSpPr>
        <a:xfrm>
          <a:off x="6807829" y="99182378"/>
          <a:ext cx="12700" cy="175923"/>
          <a:chOff x="0" y="0"/>
          <a:chExt cx="12700" cy="179831"/>
        </a:xfrm>
      </xdr:grpSpPr>
      <xdr:sp macro="" textlink="">
        <xdr:nvSpPr>
          <xdr:cNvPr id="7" name="Shape 8">
            <a:extLst>
              <a:ext uri="{FF2B5EF4-FFF2-40B4-BE49-F238E27FC236}">
                <a16:creationId xmlns:a16="http://schemas.microsoft.com/office/drawing/2014/main" id="{00000000-0008-0000-0100-000007000000}"/>
              </a:ext>
            </a:extLst>
          </xdr:cNvPr>
          <xdr:cNvSpPr/>
        </xdr:nvSpPr>
        <xdr:spPr>
          <a:xfrm flipH="1">
            <a:off x="1016" y="761"/>
            <a:ext cx="1" cy="178309"/>
          </a:xfrm>
          <a:prstGeom prst="line">
            <a:avLst/>
          </a:prstGeom>
          <a:noFill/>
          <a:ln w="3175" cap="flat">
            <a:solidFill>
              <a:srgbClr val="000000"/>
            </a:solidFill>
            <a:prstDash val="solid"/>
            <a:round/>
          </a:ln>
          <a:effectLst/>
        </xdr:spPr>
        <xdr:txBody>
          <a:bodyPr/>
          <a:lstStyle/>
          <a:p>
            <a:endParaRPr/>
          </a:p>
        </xdr:txBody>
      </xdr:sp>
      <xdr:sp macro="" textlink="">
        <xdr:nvSpPr>
          <xdr:cNvPr id="8" name="Shape 9">
            <a:extLst>
              <a:ext uri="{FF2B5EF4-FFF2-40B4-BE49-F238E27FC236}">
                <a16:creationId xmlns:a16="http://schemas.microsoft.com/office/drawing/2014/main" id="{00000000-0008-0000-0100-000008000000}"/>
              </a:ext>
            </a:extLst>
          </xdr:cNvPr>
          <xdr:cNvSpPr/>
        </xdr:nvSpPr>
        <xdr:spPr>
          <a:xfrm>
            <a:off x="0" y="0"/>
            <a:ext cx="12700" cy="179832"/>
          </a:xfrm>
          <a:prstGeom prst="rect">
            <a:avLst/>
          </a:prstGeom>
          <a:solidFill>
            <a:srgbClr val="000000"/>
          </a:solidFill>
          <a:ln w="12700" cap="flat">
            <a:noFill/>
            <a:miter lim="400000"/>
          </a:ln>
          <a:effectLst/>
        </xdr:spPr>
        <xdr:txBody>
          <a:bodyPr/>
          <a:lstStyle/>
          <a:p>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82" xr:uid="{00000000-000A-0000-FFFF-FFFF00000000}">
  <cacheSource type="worksheet">
    <worksheetSource ref="A1:H183" sheet="ProjList_Mod"/>
  </cacheSource>
  <cacheFields count="8">
    <cacheField name="ID" numFmtId="0">
      <sharedItems containsNonDate="0" count="182">
        <s v="C10"/>
        <s v="C38"/>
        <s v="C5"/>
        <s v="C17"/>
        <s v="C1"/>
        <s v="C6"/>
        <s v="C36"/>
        <s v="C3"/>
        <s v="C37"/>
        <s v="C9"/>
        <s v="C4"/>
        <s v="C43"/>
        <s v="C25"/>
        <s v="C22"/>
        <s v="C7"/>
        <s v="C8"/>
        <s v="C24"/>
        <s v="C23"/>
        <s v="C29"/>
        <s v="C28"/>
        <s v="C30"/>
        <s v="C27"/>
        <s v="C2"/>
        <s v="C26"/>
        <s v="C31"/>
        <s v="H4"/>
        <s v="H29"/>
        <s v="H3"/>
        <s v="H10"/>
        <s v="H5"/>
        <s v="H1"/>
        <s v="H26"/>
        <s v="H6"/>
        <s v="H9"/>
        <s v="H47"/>
        <s v="H32"/>
        <s v="H25"/>
        <s v="H12"/>
        <s v="H7"/>
        <s v="H8"/>
        <s v="H33"/>
        <s v="H11"/>
        <s v="H36"/>
        <s v="H35"/>
        <s v="H34"/>
        <s v="H2"/>
        <s v="H30"/>
        <s v="H31"/>
        <s v="HS40"/>
        <s v="HS37"/>
        <s v="HS24"/>
        <s v="HS5"/>
        <s v="HS44"/>
        <s v="HS3"/>
        <s v="HS43"/>
        <s v="HS10"/>
        <s v="HS6"/>
        <s v="HS2"/>
        <s v="HS52"/>
        <s v="C18"/>
        <s v="HS38"/>
        <s v="HS4"/>
        <s v="HS9"/>
        <s v="HS25"/>
        <s v="HS1"/>
        <s v="HS27"/>
        <s v="HS42"/>
        <s v="HS12"/>
        <s v="HS7"/>
        <s v="HS8"/>
        <s v="HS29"/>
        <s v="HS11"/>
        <s v="HS30"/>
        <s v="HS32"/>
        <s v="HS28"/>
        <s v="HS31"/>
        <s v="HS26"/>
        <s v="V12"/>
        <s v="V11"/>
        <s v="V15"/>
        <s v="V16"/>
        <s v="V36"/>
        <s v="V17"/>
        <s v="V5"/>
        <s v="V3"/>
        <s v="V1"/>
        <s v="V6"/>
        <s v="V14"/>
        <s v="V4"/>
        <s v="V10"/>
        <s v="V35"/>
        <s v="V21"/>
        <s v="V23"/>
        <s v="V9"/>
        <s v="V40"/>
        <s v="V7"/>
        <s v="V8"/>
        <s v="V26"/>
        <s v="V20"/>
        <s v="V27"/>
        <s v="V22"/>
        <s v="V24"/>
        <s v="V2"/>
        <s v="V25"/>
        <s v="V28"/>
        <s v="V29"/>
        <s v="C12"/>
        <s v="C13"/>
        <s v="C14"/>
        <s v="C15"/>
        <s v="C16"/>
        <s v="C19"/>
        <s v="C20"/>
        <s v="C11"/>
        <s v="C33"/>
        <s v="C34"/>
        <s v="C35"/>
        <s v="C39"/>
        <s v="C40"/>
        <s v="C41"/>
        <s v="C42"/>
        <s v="C21"/>
        <s v="V13"/>
        <s v="V19"/>
        <s v="V18"/>
        <s v="V31"/>
        <s v="V32"/>
        <s v="V33"/>
        <s v="V34"/>
        <s v="V37"/>
        <s v="V38"/>
        <s v="V39"/>
        <s v="H13"/>
        <s v="H14"/>
        <s v="H15"/>
        <s v="H16"/>
        <s v="H17"/>
        <s v="H18"/>
        <s v="H19"/>
        <s v="H20"/>
        <s v="H21"/>
        <s v="H22"/>
        <s v="H23"/>
        <s v="H24"/>
        <s v="H27"/>
        <s v="H28"/>
        <s v="C32"/>
        <s v="V30"/>
        <s v="H37"/>
        <s v="H38"/>
        <s v="H39"/>
        <s v="H40"/>
        <s v="H41"/>
        <s v="H42"/>
        <s v="H43"/>
        <s v="H44"/>
        <s v="H45"/>
        <s v="H46"/>
        <s v="HS49"/>
        <s v="HS50"/>
        <s v="HS51"/>
        <s v="HS34"/>
        <s v="HS46"/>
        <s v="HS41"/>
        <s v="HS39"/>
        <s v="HS35"/>
        <s v="HS36"/>
        <s v="HS20"/>
        <s v="HS47"/>
        <s v="HS18"/>
        <s v="HS21"/>
        <s v="HS19"/>
        <s v="HS33"/>
        <s v="HS48"/>
        <s v="HS45"/>
        <s v="HS14"/>
        <s v="HS16"/>
        <s v="HS15"/>
        <s v="HS17"/>
        <s v="HS13"/>
        <s v="HS23"/>
        <s v="HS22"/>
      </sharedItems>
    </cacheField>
    <cacheField name="Category" numFmtId="0">
      <sharedItems containsNonDate="0" count="14">
        <s v="New Construction (Classrooms)"/>
        <s v="Exterior Play Spaces, Playfields &amp; Hardcourts"/>
        <s v="Modernization / Reconfigure Existing Classrooms"/>
        <s v="Student Support &amp; Counseling"/>
        <s v="Site Utilities"/>
        <s v="Technology Equipment"/>
        <s v="Safety and Security"/>
        <s v="Multipurpose Room (MPR) &amp; Food Service"/>
        <s v="Library"/>
        <s v="Flex Labs, Science, VAPA, Theater &amp; Elective Spaces"/>
        <s v="Administration &amp; Staff Support"/>
        <s v="Outdoor Learning Environments &amp; Quads"/>
        <s v="Next Generation Classroom Flexibility"/>
        <s v="Physical Education Improvements"/>
      </sharedItems>
    </cacheField>
    <cacheField name="Site" numFmtId="0">
      <sharedItems containsNonDate="0" count="4">
        <s v="Carver"/>
        <s v="Huntington"/>
        <s v="SMHS"/>
        <s v="Valentine"/>
      </sharedItems>
    </cacheField>
    <cacheField name="Project Description" numFmtId="0">
      <sharedItems containsNonDate="0" count="100">
        <s v="Preschool, TK and Kindergarten"/>
        <s v="Grades 1-5 play yard &amp; hardcourts"/>
        <s v="Building Systems"/>
        <s v="Learning center (moderate expansion of admin space)"/>
        <s v="Existing Classrooms"/>
        <s v="Low Voltage Upgrades"/>
        <s v="Kindergarten play yard"/>
        <s v="Roofing"/>
        <s v="TK play yard"/>
        <s v="Sanitary &amp; Storm drain upgrades"/>
        <s v="Restroom Upgrades"/>
        <s v="Classroom tech - smart boards, projectors, audio, etc. (direct cost)"/>
        <s v="ADA path of travel upgrades"/>
        <s v="New drop-off area"/>
        <s v="Upgrade Backbone, wireless access points, &amp; switches (direct cost)"/>
        <s v="Upgrade fiber optic connectivity (direct cost)"/>
        <s v="Remove / replace retaining wall"/>
        <s v="New concrete pedestrian paving"/>
        <s v="New exterior lighting for student safety"/>
        <s v="Rolling decorative metal gate"/>
        <s v="New safety locks to existing classroom doors"/>
        <s v="Decorative metal fencing and gates"/>
        <s v="Exteriors"/>
        <s v="Rolling chain link gate"/>
        <s v="New emergency signs and posts"/>
        <s v="Shade structure"/>
        <s v="Electrical service upgrade &amp; capacity expansion"/>
        <s v="Existing wellness center minor modernization"/>
        <s v="Existing learning center minor modernization &amp; reconfiguration"/>
        <s v="Domestic plumbing &amp; fire water"/>
        <s v="Natural gas"/>
        <s v="Perimeter CMU wall"/>
        <s v="New concessions, restroom, team room building"/>
        <s v="Baseball &amp; Softball - turf repair, lighting, backstop, field eqpm"/>
        <s v="Resurface and repair existing parking lot"/>
        <s v="New football field surface"/>
        <s v="New track surface &amp; shotput area"/>
        <s v="Wellness center (minor expansion of admin space)"/>
        <s v="Tennis court refurbishment"/>
        <s v="New parking lot"/>
        <s v="New tennis court"/>
        <s v="Grades 1-5"/>
        <s v="MPR, one storey building"/>
        <s v="Food service building"/>
        <s v="Reconfiguration of existing space as library"/>
        <s v="Lunch court"/>
        <s v="TK/Kindergarten play yard"/>
        <s v="Minor modernization to existing spaces"/>
        <s v="MPR minor modernization, new A/V &amp; lighting"/>
        <s v="Food service area reconfiguration &amp; small add'l building"/>
        <s v="Security cameras"/>
        <s v="Landscape enhancements"/>
        <s v="New learning courts"/>
        <s v="Flexible furniture - classrooms (direct cost)"/>
        <s v="Flexible furniture - library (direct cost)"/>
        <s v="Flexible furniture - MPR (direct cost)"/>
        <s v="Flexible furniture - lunch court (direct cost)"/>
        <s v="Replace parking lot lights w/ LED"/>
        <s v="Reconfiguration of existing STEM lab"/>
        <s v="Minor modernization &amp; reconfiguration of existing spaces"/>
        <s v="Enhance learning courts"/>
        <s v="Classroom building to replace portables"/>
        <s v="Science &amp; Art Existing Labs minor modernization &amp; reconfiguration"/>
        <s v="Science &amp; Art Existing Labs small additional building"/>
        <s v="Existing Music Room minor modernization &amp; reconfiguration"/>
        <s v="Existing Music Room small additional building"/>
        <s v="Auditorium moderate modernization"/>
        <s v="MPR modernization"/>
        <s v="Food service modernization"/>
        <s v="Food service building addition"/>
        <s v="Library reconfiguration"/>
        <s v="Library building addition"/>
        <s v="Minor modernization &amp; reconfiguration of existing admin &amp; work room spaces"/>
        <s v="Landscape buffer at existing fence"/>
        <s v="Shade sails"/>
        <s v="New student amphitheater"/>
        <s v="Resurface and repair hardcourts"/>
        <s v="Repair playfields (sod)"/>
        <s v="Flexible furniture per classroom (direct cost)"/>
        <s v="Flexible furniture per library (direct cost)"/>
        <s v="Flexible furniture per MPR / cafeteria (direct cost)"/>
        <s v="Flexible furniture per outdoor lunch area  (direct cost)"/>
        <s v="Flexible furniture - cafeteria (direct cost)"/>
        <s v="Enhancements to existing learning courts"/>
        <s v="new football scoreboard"/>
        <s v="Small storage building"/>
        <s v="Field house modernization"/>
        <s v="Resurface hardcourts"/>
        <s v="Existing Library Moderate modernization"/>
        <s v="new football lighting"/>
        <s v="Existing admin space minor modernization"/>
        <s v="Enhancements to existing student quad"/>
        <s v="New football bleachers, pressbox"/>
        <s v="Existing Music Room moderate modernization"/>
        <s v="Existing Dance &amp; Drama rooms additional building"/>
        <s v="Existing Dance &amp; Drama rooms moderate modernization &amp; reconfiguration"/>
        <s v="Existing Auditorium moderate modernization"/>
        <s v="Science &amp; Art Existing Labs moderate modernization &amp; reconfiguration"/>
        <s v="Aquatics complex building &amp; pool"/>
        <s v="Gymnasiums replacement"/>
      </sharedItems>
    </cacheField>
    <cacheField name="Const Cost" numFmtId="0">
      <sharedItems containsSemiMixedTypes="0" containsNonDate="0" containsString="0" containsNumber="1" containsInteger="1" minValue="3000" maxValue="37669611" count="150">
        <n v="8159982"/>
        <n v="3600000"/>
        <n v="1644170"/>
        <n v="1080098"/>
        <n v="1000000"/>
        <n v="975038"/>
        <n v="800000"/>
        <n v="712840"/>
        <n v="650000"/>
        <n v="623000"/>
        <n v="568820"/>
        <n v="729000"/>
        <n v="500000"/>
        <n v="329000"/>
        <n v="433541"/>
        <n v="124000"/>
        <n v="89000"/>
        <n v="60000"/>
        <n v="57000"/>
        <n v="37000"/>
        <n v="36000"/>
        <n v="34272"/>
        <n v="34000"/>
        <n v="24000"/>
        <n v="2669170"/>
        <n v="2114000"/>
        <n v="1607690"/>
        <n v="1173000"/>
        <n v="1151397"/>
        <n v="153510"/>
        <n v="693639"/>
        <n v="692000"/>
        <n v="667000"/>
        <n v="464695"/>
        <n v="264000"/>
        <n v="303664"/>
        <n v="90000"/>
        <n v="76000"/>
        <n v="74000"/>
        <n v="48000"/>
        <n v="46000"/>
        <n v="11424"/>
        <n v="9000"/>
        <n v="3000"/>
        <n v="4498200"/>
        <n v="2602530"/>
        <n v="1839000"/>
        <n v="1740000"/>
        <n v="1604715"/>
        <n v="1600000"/>
        <n v="1391110"/>
        <n v="1063000"/>
        <n v="930000"/>
        <n v="890000"/>
        <n v="1125000"/>
        <n v="204564"/>
        <n v="708050"/>
        <n v="700000"/>
        <n v="695000"/>
        <n v="600000"/>
        <n v="404600"/>
        <n v="386000"/>
        <n v="425000"/>
        <n v="170000"/>
        <n v="129000"/>
        <n v="119000"/>
        <n v="96000"/>
        <n v="69000"/>
        <n v="63000"/>
        <n v="15097000"/>
        <n v="6987045"/>
        <n v="4411000"/>
        <n v="3195000"/>
        <n v="1800000"/>
        <n v="1332800"/>
        <n v="1329496"/>
        <n v="1257831"/>
        <n v="843234"/>
        <n v="828700"/>
        <n v="803250"/>
        <n v="702000"/>
        <n v="549000"/>
        <n v="405000"/>
        <n v="479000"/>
        <n v="334152"/>
        <n v="197000"/>
        <n v="154000"/>
        <n v="58000"/>
        <n v="25000"/>
        <n v="519078"/>
        <n v="969000"/>
        <n v="1673019"/>
        <n v="4625000"/>
        <n v="511849"/>
        <n v="624750"/>
        <n v="92000"/>
        <n v="1391000"/>
        <n v="100000"/>
        <n v="95200"/>
        <n v="590000"/>
        <n v="1375000"/>
        <n v="360000"/>
        <n v="428400"/>
        <n v="108000"/>
        <n v="1164266"/>
        <n v="171600"/>
        <n v="406000"/>
        <n v="490875"/>
        <n v="917000"/>
        <n v="2756000"/>
        <n v="2317644"/>
        <n v="1095861"/>
        <n v="581196"/>
        <n v="365287"/>
        <n v="4056913"/>
        <n v="1320000"/>
        <n v="1634250"/>
        <n v="303000"/>
        <n v="529000"/>
        <n v="1094800"/>
        <n v="1219312"/>
        <n v="1019000"/>
        <n v="38000"/>
        <n v="37500"/>
        <n v="596000"/>
        <n v="1469650"/>
        <n v="991000"/>
        <n v="789000"/>
        <n v="1250000"/>
        <n v="148000"/>
        <n v="166600"/>
        <n v="308448"/>
        <n v="324870"/>
        <n v="343000"/>
        <n v="396000"/>
        <n v="986272"/>
        <n v="1071000"/>
        <n v="1167000"/>
        <n v="1270920"/>
        <n v="1277000"/>
        <n v="1339000"/>
        <n v="2166000"/>
        <n v="2695350"/>
        <n v="2681945"/>
        <n v="3177998"/>
        <n v="4654702"/>
        <n v="10501050"/>
        <n v="10576063"/>
        <n v="14265323"/>
        <n v="37669611"/>
      </sharedItems>
    </cacheField>
    <cacheField name="Total Cost (+33%)" numFmtId="0">
      <sharedItems containsSemiMixedTypes="0" containsNonDate="0" containsString="0" containsNumber="1" containsInteger="1" minValue="3990" maxValue="50101100" count="148">
        <n v="10852800"/>
        <n v="4788000"/>
        <n v="2187850"/>
        <n v="1437730"/>
        <n v="1330000"/>
        <n v="1298080"/>
        <n v="1064000"/>
        <n v="948290"/>
        <n v="864500"/>
        <n v="828590"/>
        <n v="756770"/>
        <n v="729000"/>
        <n v="665000"/>
        <n v="437570"/>
        <n v="433541"/>
        <n v="164920"/>
        <n v="118370"/>
        <n v="79800"/>
        <n v="75810"/>
        <n v="49210"/>
        <n v="47880"/>
        <n v="46550"/>
        <n v="45220"/>
        <n v="31920"/>
        <n v="3551100"/>
        <n v="2811620"/>
        <n v="2138640"/>
        <n v="1560090"/>
        <n v="1532160"/>
        <n v="204820"/>
        <n v="923020"/>
        <n v="920360"/>
        <n v="667000"/>
        <n v="618450"/>
        <n v="351120"/>
        <n v="303664"/>
        <n v="119700"/>
        <n v="101080"/>
        <n v="98420"/>
        <n v="63840"/>
        <n v="61180"/>
        <n v="15960"/>
        <n v="11970"/>
        <n v="3990"/>
        <n v="5983670"/>
        <n v="3461990"/>
        <n v="2445870"/>
        <n v="2314200"/>
        <n v="2134650"/>
        <n v="2128000"/>
        <n v="1851360"/>
        <n v="1413790"/>
        <n v="1236900"/>
        <n v="1183700"/>
        <n v="1125000"/>
        <n v="272650"/>
        <n v="942970"/>
        <n v="931000"/>
        <n v="924350"/>
        <n v="887110"/>
        <n v="798000"/>
        <n v="538650"/>
        <n v="513380"/>
        <n v="425000"/>
        <n v="226100"/>
        <n v="171570"/>
        <n v="158270"/>
        <n v="127680"/>
        <n v="91770"/>
        <n v="83790"/>
        <n v="20079010"/>
        <n v="9294040"/>
        <n v="5866630"/>
        <n v="4249350"/>
        <n v="2394000"/>
        <n v="1772890"/>
        <n v="1768900"/>
        <n v="1673140"/>
        <n v="1122520"/>
        <n v="1102570"/>
        <n v="1069320"/>
        <n v="933660"/>
        <n v="730170"/>
        <n v="479000"/>
        <n v="334152"/>
        <n v="262010"/>
        <n v="77140"/>
        <n v="33250"/>
        <n v="691600"/>
        <n v="1288770"/>
        <n v="2226420"/>
        <n v="6151250"/>
        <n v="680960"/>
        <n v="831250"/>
        <n v="122360"/>
        <n v="1850030"/>
        <n v="133000"/>
        <n v="784700"/>
        <n v="1375000"/>
        <n v="60000"/>
        <n v="478800"/>
        <n v="570570"/>
        <n v="143640"/>
        <n v="1549450"/>
        <n v="228760"/>
        <n v="539980"/>
        <n v="653030"/>
        <n v="917000"/>
        <n v="3665480"/>
        <n v="3082940"/>
        <n v="1457680"/>
        <n v="774060"/>
        <n v="486780"/>
        <n v="5395810"/>
        <n v="1755600"/>
        <n v="2174550"/>
        <n v="402990"/>
        <n v="703570"/>
        <n v="1456350"/>
        <n v="1622600"/>
        <n v="1355270"/>
        <n v="50540"/>
        <n v="792680"/>
        <n v="1955100"/>
        <n v="1318030"/>
        <n v="1049370"/>
        <n v="1250000"/>
        <n v="196840"/>
        <n v="222110"/>
        <n v="410970"/>
        <n v="432250"/>
        <n v="456190"/>
        <n v="526680"/>
        <n v="1312710"/>
        <n v="1424430"/>
        <n v="1552110"/>
        <n v="1690430"/>
        <n v="1698410"/>
        <n v="1780870"/>
        <n v="2166000"/>
        <n v="3585680"/>
        <n v="3567060"/>
        <n v="4226740"/>
        <n v="6191150"/>
        <n v="13967660"/>
        <n v="14067410"/>
        <n v="18973780"/>
        <n v="50101100"/>
      </sharedItems>
    </cacheField>
    <cacheField name="Priority" numFmtId="0">
      <sharedItems containsNonDate="0" count="3">
        <s v="High"/>
        <s v="Medium"/>
        <s v="Low"/>
      </sharedItems>
    </cacheField>
    <cacheField name="Notes" numFmtId="0">
      <sharedItems containsNonDate="0" containsBlank="1" count="16">
        <s v="remove 3 portables; replace with permanent building(s)"/>
        <s v="includes solar shade structure; cut down a few play structures"/>
        <m/>
        <s v="cut down"/>
        <s v="cut down a few play structures"/>
        <s v="one building"/>
        <s v="More detail?"/>
        <s v="parking lot shade w/ PV solar"/>
        <s v="8 buildings"/>
        <s v="cut in half"/>
        <s v="2-storey permanent building"/>
        <s v="permanent building"/>
        <s v="3 buildings, 1 walkway"/>
        <s v="remove 2 portables; replace with modular building(s)"/>
        <s v="JMM: lights are relatively new and already LED"/>
        <s v="w/ PV sola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182">
  <r>
    <x v="0"/>
    <x v="0"/>
    <x v="0"/>
    <x v="0"/>
    <x v="0"/>
    <x v="0"/>
    <x v="0"/>
    <x v="0"/>
  </r>
  <r>
    <x v="1"/>
    <x v="1"/>
    <x v="0"/>
    <x v="1"/>
    <x v="1"/>
    <x v="1"/>
    <x v="0"/>
    <x v="1"/>
  </r>
  <r>
    <x v="2"/>
    <x v="2"/>
    <x v="0"/>
    <x v="2"/>
    <x v="2"/>
    <x v="2"/>
    <x v="0"/>
    <x v="2"/>
  </r>
  <r>
    <x v="3"/>
    <x v="3"/>
    <x v="0"/>
    <x v="3"/>
    <x v="3"/>
    <x v="3"/>
    <x v="0"/>
    <x v="2"/>
  </r>
  <r>
    <x v="4"/>
    <x v="2"/>
    <x v="0"/>
    <x v="4"/>
    <x v="4"/>
    <x v="4"/>
    <x v="0"/>
    <x v="3"/>
  </r>
  <r>
    <x v="5"/>
    <x v="2"/>
    <x v="0"/>
    <x v="5"/>
    <x v="5"/>
    <x v="5"/>
    <x v="0"/>
    <x v="2"/>
  </r>
  <r>
    <x v="6"/>
    <x v="1"/>
    <x v="0"/>
    <x v="6"/>
    <x v="6"/>
    <x v="6"/>
    <x v="0"/>
    <x v="4"/>
  </r>
  <r>
    <x v="7"/>
    <x v="2"/>
    <x v="0"/>
    <x v="7"/>
    <x v="7"/>
    <x v="7"/>
    <x v="0"/>
    <x v="5"/>
  </r>
  <r>
    <x v="8"/>
    <x v="1"/>
    <x v="0"/>
    <x v="8"/>
    <x v="8"/>
    <x v="8"/>
    <x v="0"/>
    <x v="4"/>
  </r>
  <r>
    <x v="9"/>
    <x v="4"/>
    <x v="0"/>
    <x v="9"/>
    <x v="9"/>
    <x v="9"/>
    <x v="0"/>
    <x v="2"/>
  </r>
  <r>
    <x v="10"/>
    <x v="2"/>
    <x v="0"/>
    <x v="10"/>
    <x v="10"/>
    <x v="10"/>
    <x v="0"/>
    <x v="6"/>
  </r>
  <r>
    <x v="11"/>
    <x v="5"/>
    <x v="0"/>
    <x v="11"/>
    <x v="11"/>
    <x v="11"/>
    <x v="0"/>
    <x v="2"/>
  </r>
  <r>
    <x v="12"/>
    <x v="6"/>
    <x v="0"/>
    <x v="12"/>
    <x v="12"/>
    <x v="12"/>
    <x v="0"/>
    <x v="2"/>
  </r>
  <r>
    <x v="13"/>
    <x v="6"/>
    <x v="0"/>
    <x v="13"/>
    <x v="13"/>
    <x v="13"/>
    <x v="0"/>
    <x v="2"/>
  </r>
  <r>
    <x v="14"/>
    <x v="2"/>
    <x v="0"/>
    <x v="14"/>
    <x v="14"/>
    <x v="14"/>
    <x v="0"/>
    <x v="2"/>
  </r>
  <r>
    <x v="15"/>
    <x v="2"/>
    <x v="0"/>
    <x v="15"/>
    <x v="14"/>
    <x v="14"/>
    <x v="0"/>
    <x v="2"/>
  </r>
  <r>
    <x v="16"/>
    <x v="6"/>
    <x v="0"/>
    <x v="16"/>
    <x v="15"/>
    <x v="15"/>
    <x v="0"/>
    <x v="2"/>
  </r>
  <r>
    <x v="17"/>
    <x v="6"/>
    <x v="0"/>
    <x v="17"/>
    <x v="16"/>
    <x v="16"/>
    <x v="0"/>
    <x v="2"/>
  </r>
  <r>
    <x v="18"/>
    <x v="6"/>
    <x v="0"/>
    <x v="18"/>
    <x v="17"/>
    <x v="17"/>
    <x v="0"/>
    <x v="2"/>
  </r>
  <r>
    <x v="19"/>
    <x v="6"/>
    <x v="0"/>
    <x v="19"/>
    <x v="18"/>
    <x v="18"/>
    <x v="0"/>
    <x v="2"/>
  </r>
  <r>
    <x v="20"/>
    <x v="6"/>
    <x v="0"/>
    <x v="20"/>
    <x v="19"/>
    <x v="19"/>
    <x v="0"/>
    <x v="2"/>
  </r>
  <r>
    <x v="21"/>
    <x v="6"/>
    <x v="0"/>
    <x v="21"/>
    <x v="20"/>
    <x v="20"/>
    <x v="0"/>
    <x v="2"/>
  </r>
  <r>
    <x v="22"/>
    <x v="2"/>
    <x v="0"/>
    <x v="22"/>
    <x v="21"/>
    <x v="21"/>
    <x v="0"/>
    <x v="2"/>
  </r>
  <r>
    <x v="23"/>
    <x v="6"/>
    <x v="0"/>
    <x v="23"/>
    <x v="22"/>
    <x v="22"/>
    <x v="0"/>
    <x v="2"/>
  </r>
  <r>
    <x v="24"/>
    <x v="6"/>
    <x v="0"/>
    <x v="24"/>
    <x v="23"/>
    <x v="23"/>
    <x v="0"/>
    <x v="2"/>
  </r>
  <r>
    <x v="25"/>
    <x v="2"/>
    <x v="1"/>
    <x v="10"/>
    <x v="24"/>
    <x v="24"/>
    <x v="0"/>
    <x v="2"/>
  </r>
  <r>
    <x v="26"/>
    <x v="6"/>
    <x v="1"/>
    <x v="25"/>
    <x v="25"/>
    <x v="25"/>
    <x v="0"/>
    <x v="7"/>
  </r>
  <r>
    <x v="27"/>
    <x v="2"/>
    <x v="1"/>
    <x v="7"/>
    <x v="26"/>
    <x v="26"/>
    <x v="0"/>
    <x v="8"/>
  </r>
  <r>
    <x v="28"/>
    <x v="4"/>
    <x v="1"/>
    <x v="26"/>
    <x v="27"/>
    <x v="27"/>
    <x v="0"/>
    <x v="2"/>
  </r>
  <r>
    <x v="29"/>
    <x v="2"/>
    <x v="1"/>
    <x v="2"/>
    <x v="28"/>
    <x v="28"/>
    <x v="0"/>
    <x v="2"/>
  </r>
  <r>
    <x v="30"/>
    <x v="2"/>
    <x v="1"/>
    <x v="4"/>
    <x v="4"/>
    <x v="4"/>
    <x v="0"/>
    <x v="3"/>
  </r>
  <r>
    <x v="31"/>
    <x v="3"/>
    <x v="1"/>
    <x v="27"/>
    <x v="29"/>
    <x v="29"/>
    <x v="1"/>
    <x v="2"/>
  </r>
  <r>
    <x v="32"/>
    <x v="2"/>
    <x v="1"/>
    <x v="5"/>
    <x v="30"/>
    <x v="30"/>
    <x v="0"/>
    <x v="2"/>
  </r>
  <r>
    <x v="33"/>
    <x v="4"/>
    <x v="1"/>
    <x v="9"/>
    <x v="31"/>
    <x v="31"/>
    <x v="0"/>
    <x v="2"/>
  </r>
  <r>
    <x v="34"/>
    <x v="5"/>
    <x v="1"/>
    <x v="11"/>
    <x v="32"/>
    <x v="32"/>
    <x v="0"/>
    <x v="2"/>
  </r>
  <r>
    <x v="35"/>
    <x v="6"/>
    <x v="1"/>
    <x v="12"/>
    <x v="12"/>
    <x v="12"/>
    <x v="0"/>
    <x v="2"/>
  </r>
  <r>
    <x v="36"/>
    <x v="3"/>
    <x v="1"/>
    <x v="28"/>
    <x v="33"/>
    <x v="33"/>
    <x v="0"/>
    <x v="2"/>
  </r>
  <r>
    <x v="37"/>
    <x v="4"/>
    <x v="1"/>
    <x v="29"/>
    <x v="34"/>
    <x v="34"/>
    <x v="0"/>
    <x v="2"/>
  </r>
  <r>
    <x v="38"/>
    <x v="2"/>
    <x v="1"/>
    <x v="14"/>
    <x v="35"/>
    <x v="35"/>
    <x v="0"/>
    <x v="2"/>
  </r>
  <r>
    <x v="39"/>
    <x v="2"/>
    <x v="1"/>
    <x v="15"/>
    <x v="35"/>
    <x v="35"/>
    <x v="0"/>
    <x v="2"/>
  </r>
  <r>
    <x v="40"/>
    <x v="6"/>
    <x v="1"/>
    <x v="18"/>
    <x v="36"/>
    <x v="36"/>
    <x v="0"/>
    <x v="2"/>
  </r>
  <r>
    <x v="41"/>
    <x v="4"/>
    <x v="1"/>
    <x v="30"/>
    <x v="37"/>
    <x v="37"/>
    <x v="0"/>
    <x v="2"/>
  </r>
  <r>
    <x v="42"/>
    <x v="6"/>
    <x v="1"/>
    <x v="31"/>
    <x v="38"/>
    <x v="38"/>
    <x v="0"/>
    <x v="2"/>
  </r>
  <r>
    <x v="43"/>
    <x v="6"/>
    <x v="1"/>
    <x v="24"/>
    <x v="39"/>
    <x v="39"/>
    <x v="0"/>
    <x v="2"/>
  </r>
  <r>
    <x v="44"/>
    <x v="6"/>
    <x v="1"/>
    <x v="20"/>
    <x v="40"/>
    <x v="40"/>
    <x v="0"/>
    <x v="2"/>
  </r>
  <r>
    <x v="45"/>
    <x v="2"/>
    <x v="1"/>
    <x v="22"/>
    <x v="41"/>
    <x v="41"/>
    <x v="0"/>
    <x v="2"/>
  </r>
  <r>
    <x v="46"/>
    <x v="6"/>
    <x v="1"/>
    <x v="13"/>
    <x v="42"/>
    <x v="42"/>
    <x v="0"/>
    <x v="2"/>
  </r>
  <r>
    <x v="47"/>
    <x v="6"/>
    <x v="1"/>
    <x v="17"/>
    <x v="43"/>
    <x v="43"/>
    <x v="0"/>
    <x v="2"/>
  </r>
  <r>
    <x v="48"/>
    <x v="1"/>
    <x v="2"/>
    <x v="32"/>
    <x v="44"/>
    <x v="44"/>
    <x v="0"/>
    <x v="2"/>
  </r>
  <r>
    <x v="49"/>
    <x v="1"/>
    <x v="2"/>
    <x v="33"/>
    <x v="45"/>
    <x v="45"/>
    <x v="0"/>
    <x v="2"/>
  </r>
  <r>
    <x v="50"/>
    <x v="6"/>
    <x v="2"/>
    <x v="34"/>
    <x v="46"/>
    <x v="46"/>
    <x v="0"/>
    <x v="2"/>
  </r>
  <r>
    <x v="51"/>
    <x v="2"/>
    <x v="2"/>
    <x v="2"/>
    <x v="47"/>
    <x v="47"/>
    <x v="0"/>
    <x v="9"/>
  </r>
  <r>
    <x v="52"/>
    <x v="1"/>
    <x v="2"/>
    <x v="35"/>
    <x v="48"/>
    <x v="48"/>
    <x v="0"/>
    <x v="2"/>
  </r>
  <r>
    <x v="53"/>
    <x v="2"/>
    <x v="2"/>
    <x v="7"/>
    <x v="49"/>
    <x v="49"/>
    <x v="0"/>
    <x v="9"/>
  </r>
  <r>
    <x v="54"/>
    <x v="1"/>
    <x v="2"/>
    <x v="36"/>
    <x v="50"/>
    <x v="50"/>
    <x v="0"/>
    <x v="2"/>
  </r>
  <r>
    <x v="55"/>
    <x v="4"/>
    <x v="2"/>
    <x v="26"/>
    <x v="51"/>
    <x v="51"/>
    <x v="0"/>
    <x v="2"/>
  </r>
  <r>
    <x v="56"/>
    <x v="2"/>
    <x v="2"/>
    <x v="5"/>
    <x v="52"/>
    <x v="52"/>
    <x v="0"/>
    <x v="9"/>
  </r>
  <r>
    <x v="57"/>
    <x v="2"/>
    <x v="2"/>
    <x v="22"/>
    <x v="53"/>
    <x v="53"/>
    <x v="0"/>
    <x v="9"/>
  </r>
  <r>
    <x v="58"/>
    <x v="5"/>
    <x v="2"/>
    <x v="11"/>
    <x v="54"/>
    <x v="54"/>
    <x v="0"/>
    <x v="2"/>
  </r>
  <r>
    <x v="59"/>
    <x v="3"/>
    <x v="0"/>
    <x v="37"/>
    <x v="55"/>
    <x v="55"/>
    <x v="1"/>
    <x v="2"/>
  </r>
  <r>
    <x v="60"/>
    <x v="1"/>
    <x v="2"/>
    <x v="38"/>
    <x v="56"/>
    <x v="56"/>
    <x v="0"/>
    <x v="2"/>
  </r>
  <r>
    <x v="61"/>
    <x v="2"/>
    <x v="2"/>
    <x v="10"/>
    <x v="57"/>
    <x v="57"/>
    <x v="0"/>
    <x v="9"/>
  </r>
  <r>
    <x v="62"/>
    <x v="4"/>
    <x v="2"/>
    <x v="9"/>
    <x v="58"/>
    <x v="58"/>
    <x v="0"/>
    <x v="2"/>
  </r>
  <r>
    <x v="63"/>
    <x v="6"/>
    <x v="2"/>
    <x v="39"/>
    <x v="32"/>
    <x v="59"/>
    <x v="0"/>
    <x v="2"/>
  </r>
  <r>
    <x v="64"/>
    <x v="2"/>
    <x v="2"/>
    <x v="4"/>
    <x v="59"/>
    <x v="60"/>
    <x v="0"/>
    <x v="9"/>
  </r>
  <r>
    <x v="65"/>
    <x v="6"/>
    <x v="2"/>
    <x v="12"/>
    <x v="12"/>
    <x v="12"/>
    <x v="0"/>
    <x v="2"/>
  </r>
  <r>
    <x v="66"/>
    <x v="1"/>
    <x v="2"/>
    <x v="40"/>
    <x v="60"/>
    <x v="61"/>
    <x v="0"/>
    <x v="2"/>
  </r>
  <r>
    <x v="67"/>
    <x v="4"/>
    <x v="2"/>
    <x v="29"/>
    <x v="61"/>
    <x v="62"/>
    <x v="0"/>
    <x v="2"/>
  </r>
  <r>
    <x v="68"/>
    <x v="2"/>
    <x v="2"/>
    <x v="14"/>
    <x v="62"/>
    <x v="63"/>
    <x v="0"/>
    <x v="9"/>
  </r>
  <r>
    <x v="69"/>
    <x v="2"/>
    <x v="2"/>
    <x v="15"/>
    <x v="62"/>
    <x v="63"/>
    <x v="0"/>
    <x v="9"/>
  </r>
  <r>
    <x v="70"/>
    <x v="6"/>
    <x v="2"/>
    <x v="19"/>
    <x v="63"/>
    <x v="64"/>
    <x v="0"/>
    <x v="2"/>
  </r>
  <r>
    <x v="71"/>
    <x v="4"/>
    <x v="2"/>
    <x v="30"/>
    <x v="64"/>
    <x v="65"/>
    <x v="0"/>
    <x v="2"/>
  </r>
  <r>
    <x v="72"/>
    <x v="6"/>
    <x v="2"/>
    <x v="18"/>
    <x v="65"/>
    <x v="66"/>
    <x v="0"/>
    <x v="2"/>
  </r>
  <r>
    <x v="73"/>
    <x v="6"/>
    <x v="2"/>
    <x v="24"/>
    <x v="66"/>
    <x v="67"/>
    <x v="0"/>
    <x v="2"/>
  </r>
  <r>
    <x v="74"/>
    <x v="6"/>
    <x v="2"/>
    <x v="21"/>
    <x v="67"/>
    <x v="68"/>
    <x v="0"/>
    <x v="2"/>
  </r>
  <r>
    <x v="75"/>
    <x v="6"/>
    <x v="2"/>
    <x v="20"/>
    <x v="68"/>
    <x v="69"/>
    <x v="0"/>
    <x v="2"/>
  </r>
  <r>
    <x v="76"/>
    <x v="6"/>
    <x v="2"/>
    <x v="17"/>
    <x v="20"/>
    <x v="20"/>
    <x v="0"/>
    <x v="2"/>
  </r>
  <r>
    <x v="77"/>
    <x v="0"/>
    <x v="3"/>
    <x v="41"/>
    <x v="69"/>
    <x v="70"/>
    <x v="0"/>
    <x v="10"/>
  </r>
  <r>
    <x v="78"/>
    <x v="0"/>
    <x v="3"/>
    <x v="0"/>
    <x v="70"/>
    <x v="71"/>
    <x v="0"/>
    <x v="11"/>
  </r>
  <r>
    <x v="79"/>
    <x v="7"/>
    <x v="3"/>
    <x v="42"/>
    <x v="71"/>
    <x v="72"/>
    <x v="0"/>
    <x v="2"/>
  </r>
  <r>
    <x v="80"/>
    <x v="7"/>
    <x v="3"/>
    <x v="43"/>
    <x v="72"/>
    <x v="73"/>
    <x v="0"/>
    <x v="2"/>
  </r>
  <r>
    <x v="81"/>
    <x v="1"/>
    <x v="3"/>
    <x v="1"/>
    <x v="73"/>
    <x v="74"/>
    <x v="0"/>
    <x v="4"/>
  </r>
  <r>
    <x v="82"/>
    <x v="8"/>
    <x v="3"/>
    <x v="44"/>
    <x v="74"/>
    <x v="75"/>
    <x v="0"/>
    <x v="2"/>
  </r>
  <r>
    <x v="83"/>
    <x v="2"/>
    <x v="3"/>
    <x v="2"/>
    <x v="75"/>
    <x v="76"/>
    <x v="0"/>
    <x v="2"/>
  </r>
  <r>
    <x v="84"/>
    <x v="2"/>
    <x v="3"/>
    <x v="7"/>
    <x v="76"/>
    <x v="77"/>
    <x v="0"/>
    <x v="12"/>
  </r>
  <r>
    <x v="85"/>
    <x v="2"/>
    <x v="3"/>
    <x v="4"/>
    <x v="4"/>
    <x v="4"/>
    <x v="0"/>
    <x v="3"/>
  </r>
  <r>
    <x v="86"/>
    <x v="2"/>
    <x v="3"/>
    <x v="5"/>
    <x v="77"/>
    <x v="78"/>
    <x v="0"/>
    <x v="2"/>
  </r>
  <r>
    <x v="87"/>
    <x v="7"/>
    <x v="3"/>
    <x v="45"/>
    <x v="78"/>
    <x v="79"/>
    <x v="0"/>
    <x v="2"/>
  </r>
  <r>
    <x v="88"/>
    <x v="2"/>
    <x v="3"/>
    <x v="10"/>
    <x v="79"/>
    <x v="80"/>
    <x v="0"/>
    <x v="6"/>
  </r>
  <r>
    <x v="89"/>
    <x v="4"/>
    <x v="3"/>
    <x v="26"/>
    <x v="80"/>
    <x v="81"/>
    <x v="0"/>
    <x v="2"/>
  </r>
  <r>
    <x v="90"/>
    <x v="1"/>
    <x v="3"/>
    <x v="46"/>
    <x v="8"/>
    <x v="8"/>
    <x v="0"/>
    <x v="4"/>
  </r>
  <r>
    <x v="91"/>
    <x v="6"/>
    <x v="3"/>
    <x v="13"/>
    <x v="81"/>
    <x v="82"/>
    <x v="0"/>
    <x v="2"/>
  </r>
  <r>
    <x v="92"/>
    <x v="6"/>
    <x v="3"/>
    <x v="12"/>
    <x v="12"/>
    <x v="12"/>
    <x v="0"/>
    <x v="2"/>
  </r>
  <r>
    <x v="93"/>
    <x v="4"/>
    <x v="3"/>
    <x v="9"/>
    <x v="82"/>
    <x v="61"/>
    <x v="0"/>
    <x v="2"/>
  </r>
  <r>
    <x v="94"/>
    <x v="5"/>
    <x v="3"/>
    <x v="11"/>
    <x v="83"/>
    <x v="83"/>
    <x v="0"/>
    <x v="2"/>
  </r>
  <r>
    <x v="95"/>
    <x v="2"/>
    <x v="3"/>
    <x v="14"/>
    <x v="84"/>
    <x v="84"/>
    <x v="0"/>
    <x v="2"/>
  </r>
  <r>
    <x v="96"/>
    <x v="2"/>
    <x v="3"/>
    <x v="15"/>
    <x v="84"/>
    <x v="84"/>
    <x v="0"/>
    <x v="2"/>
  </r>
  <r>
    <x v="97"/>
    <x v="6"/>
    <x v="3"/>
    <x v="21"/>
    <x v="85"/>
    <x v="85"/>
    <x v="0"/>
    <x v="2"/>
  </r>
  <r>
    <x v="98"/>
    <x v="6"/>
    <x v="3"/>
    <x v="39"/>
    <x v="86"/>
    <x v="29"/>
    <x v="0"/>
    <x v="2"/>
  </r>
  <r>
    <x v="99"/>
    <x v="6"/>
    <x v="3"/>
    <x v="18"/>
    <x v="17"/>
    <x v="17"/>
    <x v="0"/>
    <x v="2"/>
  </r>
  <r>
    <x v="100"/>
    <x v="6"/>
    <x v="3"/>
    <x v="17"/>
    <x v="87"/>
    <x v="86"/>
    <x v="0"/>
    <x v="2"/>
  </r>
  <r>
    <x v="101"/>
    <x v="6"/>
    <x v="3"/>
    <x v="31"/>
    <x v="87"/>
    <x v="86"/>
    <x v="0"/>
    <x v="2"/>
  </r>
  <r>
    <x v="102"/>
    <x v="2"/>
    <x v="3"/>
    <x v="22"/>
    <x v="21"/>
    <x v="21"/>
    <x v="0"/>
    <x v="2"/>
  </r>
  <r>
    <x v="103"/>
    <x v="6"/>
    <x v="3"/>
    <x v="23"/>
    <x v="22"/>
    <x v="22"/>
    <x v="0"/>
    <x v="2"/>
  </r>
  <r>
    <x v="104"/>
    <x v="6"/>
    <x v="3"/>
    <x v="20"/>
    <x v="88"/>
    <x v="87"/>
    <x v="0"/>
    <x v="2"/>
  </r>
  <r>
    <x v="105"/>
    <x v="6"/>
    <x v="3"/>
    <x v="24"/>
    <x v="23"/>
    <x v="23"/>
    <x v="0"/>
    <x v="2"/>
  </r>
  <r>
    <x v="106"/>
    <x v="9"/>
    <x v="0"/>
    <x v="47"/>
    <x v="89"/>
    <x v="88"/>
    <x v="2"/>
    <x v="2"/>
  </r>
  <r>
    <x v="107"/>
    <x v="7"/>
    <x v="0"/>
    <x v="48"/>
    <x v="90"/>
    <x v="89"/>
    <x v="2"/>
    <x v="2"/>
  </r>
  <r>
    <x v="108"/>
    <x v="7"/>
    <x v="0"/>
    <x v="45"/>
    <x v="91"/>
    <x v="90"/>
    <x v="2"/>
    <x v="2"/>
  </r>
  <r>
    <x v="109"/>
    <x v="7"/>
    <x v="0"/>
    <x v="49"/>
    <x v="92"/>
    <x v="91"/>
    <x v="2"/>
    <x v="2"/>
  </r>
  <r>
    <x v="110"/>
    <x v="8"/>
    <x v="0"/>
    <x v="47"/>
    <x v="93"/>
    <x v="92"/>
    <x v="2"/>
    <x v="2"/>
  </r>
  <r>
    <x v="111"/>
    <x v="10"/>
    <x v="0"/>
    <x v="47"/>
    <x v="94"/>
    <x v="93"/>
    <x v="2"/>
    <x v="2"/>
  </r>
  <r>
    <x v="112"/>
    <x v="10"/>
    <x v="0"/>
    <x v="10"/>
    <x v="95"/>
    <x v="94"/>
    <x v="2"/>
    <x v="2"/>
  </r>
  <r>
    <x v="113"/>
    <x v="0"/>
    <x v="0"/>
    <x v="41"/>
    <x v="96"/>
    <x v="95"/>
    <x v="2"/>
    <x v="13"/>
  </r>
  <r>
    <x v="114"/>
    <x v="6"/>
    <x v="0"/>
    <x v="50"/>
    <x v="97"/>
    <x v="96"/>
    <x v="2"/>
    <x v="2"/>
  </r>
  <r>
    <x v="115"/>
    <x v="11"/>
    <x v="0"/>
    <x v="51"/>
    <x v="98"/>
    <x v="67"/>
    <x v="2"/>
    <x v="2"/>
  </r>
  <r>
    <x v="116"/>
    <x v="11"/>
    <x v="0"/>
    <x v="52"/>
    <x v="99"/>
    <x v="97"/>
    <x v="2"/>
    <x v="2"/>
  </r>
  <r>
    <x v="117"/>
    <x v="12"/>
    <x v="0"/>
    <x v="53"/>
    <x v="100"/>
    <x v="98"/>
    <x v="2"/>
    <x v="2"/>
  </r>
  <r>
    <x v="118"/>
    <x v="12"/>
    <x v="0"/>
    <x v="54"/>
    <x v="17"/>
    <x v="99"/>
    <x v="2"/>
    <x v="2"/>
  </r>
  <r>
    <x v="119"/>
    <x v="12"/>
    <x v="0"/>
    <x v="55"/>
    <x v="17"/>
    <x v="99"/>
    <x v="2"/>
    <x v="2"/>
  </r>
  <r>
    <x v="120"/>
    <x v="12"/>
    <x v="0"/>
    <x v="56"/>
    <x v="17"/>
    <x v="99"/>
    <x v="2"/>
    <x v="2"/>
  </r>
  <r>
    <x v="121"/>
    <x v="6"/>
    <x v="0"/>
    <x v="57"/>
    <x v="101"/>
    <x v="100"/>
    <x v="2"/>
    <x v="14"/>
  </r>
  <r>
    <x v="122"/>
    <x v="9"/>
    <x v="3"/>
    <x v="58"/>
    <x v="102"/>
    <x v="101"/>
    <x v="2"/>
    <x v="2"/>
  </r>
  <r>
    <x v="123"/>
    <x v="6"/>
    <x v="3"/>
    <x v="57"/>
    <x v="103"/>
    <x v="102"/>
    <x v="2"/>
    <x v="2"/>
  </r>
  <r>
    <x v="124"/>
    <x v="10"/>
    <x v="3"/>
    <x v="59"/>
    <x v="104"/>
    <x v="103"/>
    <x v="2"/>
    <x v="2"/>
  </r>
  <r>
    <x v="125"/>
    <x v="6"/>
    <x v="3"/>
    <x v="50"/>
    <x v="97"/>
    <x v="96"/>
    <x v="2"/>
    <x v="2"/>
  </r>
  <r>
    <x v="126"/>
    <x v="11"/>
    <x v="3"/>
    <x v="51"/>
    <x v="105"/>
    <x v="104"/>
    <x v="2"/>
    <x v="2"/>
  </r>
  <r>
    <x v="127"/>
    <x v="11"/>
    <x v="3"/>
    <x v="52"/>
    <x v="106"/>
    <x v="105"/>
    <x v="2"/>
    <x v="2"/>
  </r>
  <r>
    <x v="128"/>
    <x v="11"/>
    <x v="3"/>
    <x v="60"/>
    <x v="107"/>
    <x v="106"/>
    <x v="2"/>
    <x v="2"/>
  </r>
  <r>
    <x v="129"/>
    <x v="12"/>
    <x v="3"/>
    <x v="53"/>
    <x v="108"/>
    <x v="107"/>
    <x v="2"/>
    <x v="2"/>
  </r>
  <r>
    <x v="130"/>
    <x v="12"/>
    <x v="3"/>
    <x v="54"/>
    <x v="17"/>
    <x v="99"/>
    <x v="2"/>
    <x v="2"/>
  </r>
  <r>
    <x v="131"/>
    <x v="12"/>
    <x v="3"/>
    <x v="56"/>
    <x v="17"/>
    <x v="99"/>
    <x v="2"/>
    <x v="2"/>
  </r>
  <r>
    <x v="132"/>
    <x v="0"/>
    <x v="1"/>
    <x v="61"/>
    <x v="109"/>
    <x v="108"/>
    <x v="2"/>
    <x v="11"/>
  </r>
  <r>
    <x v="133"/>
    <x v="9"/>
    <x v="1"/>
    <x v="62"/>
    <x v="110"/>
    <x v="109"/>
    <x v="2"/>
    <x v="2"/>
  </r>
  <r>
    <x v="134"/>
    <x v="9"/>
    <x v="1"/>
    <x v="63"/>
    <x v="111"/>
    <x v="110"/>
    <x v="2"/>
    <x v="2"/>
  </r>
  <r>
    <x v="135"/>
    <x v="9"/>
    <x v="1"/>
    <x v="64"/>
    <x v="112"/>
    <x v="111"/>
    <x v="2"/>
    <x v="2"/>
  </r>
  <r>
    <x v="136"/>
    <x v="9"/>
    <x v="1"/>
    <x v="65"/>
    <x v="113"/>
    <x v="112"/>
    <x v="2"/>
    <x v="2"/>
  </r>
  <r>
    <x v="137"/>
    <x v="9"/>
    <x v="1"/>
    <x v="66"/>
    <x v="114"/>
    <x v="113"/>
    <x v="2"/>
    <x v="2"/>
  </r>
  <r>
    <x v="138"/>
    <x v="7"/>
    <x v="1"/>
    <x v="67"/>
    <x v="115"/>
    <x v="114"/>
    <x v="2"/>
    <x v="2"/>
  </r>
  <r>
    <x v="139"/>
    <x v="7"/>
    <x v="1"/>
    <x v="68"/>
    <x v="116"/>
    <x v="115"/>
    <x v="2"/>
    <x v="2"/>
  </r>
  <r>
    <x v="140"/>
    <x v="7"/>
    <x v="1"/>
    <x v="69"/>
    <x v="117"/>
    <x v="116"/>
    <x v="2"/>
    <x v="2"/>
  </r>
  <r>
    <x v="141"/>
    <x v="7"/>
    <x v="1"/>
    <x v="45"/>
    <x v="118"/>
    <x v="117"/>
    <x v="2"/>
    <x v="2"/>
  </r>
  <r>
    <x v="142"/>
    <x v="8"/>
    <x v="1"/>
    <x v="70"/>
    <x v="119"/>
    <x v="118"/>
    <x v="2"/>
    <x v="2"/>
  </r>
  <r>
    <x v="143"/>
    <x v="8"/>
    <x v="1"/>
    <x v="71"/>
    <x v="120"/>
    <x v="119"/>
    <x v="2"/>
    <x v="2"/>
  </r>
  <r>
    <x v="144"/>
    <x v="10"/>
    <x v="1"/>
    <x v="72"/>
    <x v="121"/>
    <x v="120"/>
    <x v="2"/>
    <x v="2"/>
  </r>
  <r>
    <x v="145"/>
    <x v="6"/>
    <x v="1"/>
    <x v="57"/>
    <x v="103"/>
    <x v="102"/>
    <x v="2"/>
    <x v="2"/>
  </r>
  <r>
    <x v="146"/>
    <x v="6"/>
    <x v="0"/>
    <x v="73"/>
    <x v="122"/>
    <x v="121"/>
    <x v="2"/>
    <x v="2"/>
  </r>
  <r>
    <x v="147"/>
    <x v="6"/>
    <x v="3"/>
    <x v="74"/>
    <x v="123"/>
    <x v="121"/>
    <x v="2"/>
    <x v="2"/>
  </r>
  <r>
    <x v="148"/>
    <x v="6"/>
    <x v="1"/>
    <x v="50"/>
    <x v="97"/>
    <x v="96"/>
    <x v="2"/>
    <x v="2"/>
  </r>
  <r>
    <x v="149"/>
    <x v="11"/>
    <x v="1"/>
    <x v="52"/>
    <x v="124"/>
    <x v="122"/>
    <x v="2"/>
    <x v="2"/>
  </r>
  <r>
    <x v="150"/>
    <x v="11"/>
    <x v="1"/>
    <x v="75"/>
    <x v="125"/>
    <x v="123"/>
    <x v="2"/>
    <x v="2"/>
  </r>
  <r>
    <x v="151"/>
    <x v="1"/>
    <x v="1"/>
    <x v="25"/>
    <x v="126"/>
    <x v="124"/>
    <x v="2"/>
    <x v="15"/>
  </r>
  <r>
    <x v="152"/>
    <x v="1"/>
    <x v="1"/>
    <x v="76"/>
    <x v="127"/>
    <x v="125"/>
    <x v="2"/>
    <x v="2"/>
  </r>
  <r>
    <x v="153"/>
    <x v="1"/>
    <x v="1"/>
    <x v="77"/>
    <x v="31"/>
    <x v="31"/>
    <x v="2"/>
    <x v="2"/>
  </r>
  <r>
    <x v="154"/>
    <x v="12"/>
    <x v="1"/>
    <x v="78"/>
    <x v="128"/>
    <x v="126"/>
    <x v="2"/>
    <x v="2"/>
  </r>
  <r>
    <x v="155"/>
    <x v="12"/>
    <x v="1"/>
    <x v="79"/>
    <x v="17"/>
    <x v="99"/>
    <x v="2"/>
    <x v="2"/>
  </r>
  <r>
    <x v="156"/>
    <x v="12"/>
    <x v="1"/>
    <x v="80"/>
    <x v="17"/>
    <x v="99"/>
    <x v="2"/>
    <x v="2"/>
  </r>
  <r>
    <x v="157"/>
    <x v="12"/>
    <x v="1"/>
    <x v="81"/>
    <x v="17"/>
    <x v="99"/>
    <x v="2"/>
    <x v="2"/>
  </r>
  <r>
    <x v="158"/>
    <x v="12"/>
    <x v="2"/>
    <x v="79"/>
    <x v="17"/>
    <x v="99"/>
    <x v="2"/>
    <x v="2"/>
  </r>
  <r>
    <x v="159"/>
    <x v="12"/>
    <x v="2"/>
    <x v="55"/>
    <x v="17"/>
    <x v="99"/>
    <x v="2"/>
    <x v="2"/>
  </r>
  <r>
    <x v="160"/>
    <x v="12"/>
    <x v="2"/>
    <x v="82"/>
    <x v="17"/>
    <x v="99"/>
    <x v="2"/>
    <x v="2"/>
  </r>
  <r>
    <x v="161"/>
    <x v="11"/>
    <x v="2"/>
    <x v="83"/>
    <x v="129"/>
    <x v="127"/>
    <x v="2"/>
    <x v="2"/>
  </r>
  <r>
    <x v="162"/>
    <x v="1"/>
    <x v="2"/>
    <x v="84"/>
    <x v="130"/>
    <x v="128"/>
    <x v="2"/>
    <x v="2"/>
  </r>
  <r>
    <x v="163"/>
    <x v="1"/>
    <x v="2"/>
    <x v="85"/>
    <x v="131"/>
    <x v="129"/>
    <x v="2"/>
    <x v="2"/>
  </r>
  <r>
    <x v="164"/>
    <x v="1"/>
    <x v="2"/>
    <x v="86"/>
    <x v="132"/>
    <x v="130"/>
    <x v="2"/>
    <x v="2"/>
  </r>
  <r>
    <x v="165"/>
    <x v="1"/>
    <x v="2"/>
    <x v="87"/>
    <x v="133"/>
    <x v="131"/>
    <x v="2"/>
    <x v="2"/>
  </r>
  <r>
    <x v="166"/>
    <x v="1"/>
    <x v="2"/>
    <x v="77"/>
    <x v="134"/>
    <x v="132"/>
    <x v="2"/>
    <x v="2"/>
  </r>
  <r>
    <x v="167"/>
    <x v="8"/>
    <x v="2"/>
    <x v="88"/>
    <x v="135"/>
    <x v="133"/>
    <x v="2"/>
    <x v="2"/>
  </r>
  <r>
    <x v="168"/>
    <x v="1"/>
    <x v="2"/>
    <x v="89"/>
    <x v="136"/>
    <x v="134"/>
    <x v="2"/>
    <x v="2"/>
  </r>
  <r>
    <x v="169"/>
    <x v="7"/>
    <x v="2"/>
    <x v="67"/>
    <x v="137"/>
    <x v="135"/>
    <x v="2"/>
    <x v="2"/>
  </r>
  <r>
    <x v="170"/>
    <x v="10"/>
    <x v="2"/>
    <x v="90"/>
    <x v="138"/>
    <x v="136"/>
    <x v="2"/>
    <x v="2"/>
  </r>
  <r>
    <x v="171"/>
    <x v="7"/>
    <x v="2"/>
    <x v="68"/>
    <x v="139"/>
    <x v="137"/>
    <x v="2"/>
    <x v="2"/>
  </r>
  <r>
    <x v="172"/>
    <x v="11"/>
    <x v="2"/>
    <x v="91"/>
    <x v="140"/>
    <x v="138"/>
    <x v="2"/>
    <x v="2"/>
  </r>
  <r>
    <x v="173"/>
    <x v="12"/>
    <x v="2"/>
    <x v="78"/>
    <x v="141"/>
    <x v="139"/>
    <x v="2"/>
    <x v="2"/>
  </r>
  <r>
    <x v="174"/>
    <x v="1"/>
    <x v="2"/>
    <x v="92"/>
    <x v="142"/>
    <x v="140"/>
    <x v="2"/>
    <x v="2"/>
  </r>
  <r>
    <x v="175"/>
    <x v="9"/>
    <x v="2"/>
    <x v="93"/>
    <x v="143"/>
    <x v="141"/>
    <x v="1"/>
    <x v="2"/>
  </r>
  <r>
    <x v="176"/>
    <x v="9"/>
    <x v="2"/>
    <x v="94"/>
    <x v="144"/>
    <x v="142"/>
    <x v="1"/>
    <x v="2"/>
  </r>
  <r>
    <x v="177"/>
    <x v="9"/>
    <x v="2"/>
    <x v="95"/>
    <x v="145"/>
    <x v="143"/>
    <x v="1"/>
    <x v="2"/>
  </r>
  <r>
    <x v="178"/>
    <x v="9"/>
    <x v="2"/>
    <x v="96"/>
    <x v="146"/>
    <x v="144"/>
    <x v="1"/>
    <x v="2"/>
  </r>
  <r>
    <x v="179"/>
    <x v="9"/>
    <x v="2"/>
    <x v="97"/>
    <x v="147"/>
    <x v="145"/>
    <x v="1"/>
    <x v="2"/>
  </r>
  <r>
    <x v="180"/>
    <x v="13"/>
    <x v="2"/>
    <x v="98"/>
    <x v="148"/>
    <x v="146"/>
    <x v="1"/>
    <x v="2"/>
  </r>
  <r>
    <x v="181"/>
    <x v="13"/>
    <x v="2"/>
    <x v="99"/>
    <x v="149"/>
    <x v="14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4:F15" firstHeaderRow="1" firstDataRow="2" firstDataCol="1" rowPageCount="1" colPageCount="1"/>
  <pivotFields count="8">
    <pivotField name="ID" compact="0" outline="0" showAll="0">
      <items count="183">
        <item x="4"/>
        <item x="0"/>
        <item x="113"/>
        <item x="106"/>
        <item x="107"/>
        <item x="108"/>
        <item x="109"/>
        <item x="110"/>
        <item x="3"/>
        <item x="59"/>
        <item x="111"/>
        <item x="22"/>
        <item x="112"/>
        <item x="121"/>
        <item x="13"/>
        <item x="17"/>
        <item x="16"/>
        <item x="12"/>
        <item x="23"/>
        <item x="21"/>
        <item x="19"/>
        <item x="18"/>
        <item x="7"/>
        <item x="20"/>
        <item x="24"/>
        <item x="146"/>
        <item x="114"/>
        <item x="115"/>
        <item x="116"/>
        <item x="6"/>
        <item x="8"/>
        <item x="1"/>
        <item x="117"/>
        <item x="10"/>
        <item x="118"/>
        <item x="119"/>
        <item x="120"/>
        <item x="11"/>
        <item x="2"/>
        <item x="5"/>
        <item x="14"/>
        <item x="15"/>
        <item x="9"/>
        <item x="30"/>
        <item x="28"/>
        <item x="41"/>
        <item x="37"/>
        <item x="132"/>
        <item x="133"/>
        <item x="134"/>
        <item x="135"/>
        <item x="136"/>
        <item x="137"/>
        <item x="138"/>
        <item x="45"/>
        <item x="139"/>
        <item x="140"/>
        <item x="141"/>
        <item x="142"/>
        <item x="143"/>
        <item x="36"/>
        <item x="31"/>
        <item x="144"/>
        <item x="145"/>
        <item x="26"/>
        <item x="27"/>
        <item x="46"/>
        <item x="47"/>
        <item x="35"/>
        <item x="40"/>
        <item x="44"/>
        <item x="43"/>
        <item x="42"/>
        <item x="148"/>
        <item x="149"/>
        <item x="150"/>
        <item x="25"/>
        <item x="151"/>
        <item x="152"/>
        <item x="153"/>
        <item x="154"/>
        <item x="155"/>
        <item x="156"/>
        <item x="157"/>
        <item x="34"/>
        <item x="29"/>
        <item x="32"/>
        <item x="38"/>
        <item x="39"/>
        <item x="33"/>
        <item x="64"/>
        <item x="55"/>
        <item x="71"/>
        <item x="67"/>
        <item x="179"/>
        <item x="175"/>
        <item x="177"/>
        <item x="176"/>
        <item x="178"/>
        <item x="169"/>
        <item x="171"/>
        <item x="57"/>
        <item x="167"/>
        <item x="170"/>
        <item x="181"/>
        <item x="180"/>
        <item x="50"/>
        <item x="63"/>
        <item x="76"/>
        <item x="65"/>
        <item x="74"/>
        <item x="70"/>
        <item x="53"/>
        <item x="72"/>
        <item x="75"/>
        <item x="73"/>
        <item x="172"/>
        <item x="161"/>
        <item x="165"/>
        <item x="166"/>
        <item x="49"/>
        <item x="60"/>
        <item x="164"/>
        <item x="61"/>
        <item x="48"/>
        <item x="163"/>
        <item x="66"/>
        <item x="54"/>
        <item x="52"/>
        <item x="174"/>
        <item x="162"/>
        <item x="168"/>
        <item x="173"/>
        <item x="158"/>
        <item x="51"/>
        <item x="159"/>
        <item x="160"/>
        <item x="58"/>
        <item x="56"/>
        <item x="68"/>
        <item x="69"/>
        <item x="62"/>
        <item x="85"/>
        <item x="89"/>
        <item x="78"/>
        <item x="77"/>
        <item x="122"/>
        <item x="87"/>
        <item x="79"/>
        <item x="80"/>
        <item x="82"/>
        <item x="124"/>
        <item x="123"/>
        <item x="102"/>
        <item x="98"/>
        <item x="91"/>
        <item x="100"/>
        <item x="92"/>
        <item x="101"/>
        <item x="103"/>
        <item x="97"/>
        <item x="99"/>
        <item x="104"/>
        <item x="105"/>
        <item x="84"/>
        <item x="147"/>
        <item x="125"/>
        <item x="126"/>
        <item x="127"/>
        <item x="128"/>
        <item x="90"/>
        <item x="81"/>
        <item x="129"/>
        <item x="130"/>
        <item x="131"/>
        <item x="88"/>
        <item x="94"/>
        <item x="83"/>
        <item x="86"/>
        <item x="95"/>
        <item x="96"/>
        <item x="93"/>
        <item t="default" sd="0"/>
      </items>
    </pivotField>
    <pivotField name="Category" axis="axisRow" compact="0" numFmtId="49" outline="0" showAll="0" sortType="ascending">
      <items count="15">
        <item x="10"/>
        <item x="1"/>
        <item x="9"/>
        <item x="8"/>
        <item x="2"/>
        <item x="7"/>
        <item x="0"/>
        <item x="12"/>
        <item x="11"/>
        <item x="13"/>
        <item x="6"/>
        <item x="4"/>
        <item x="3"/>
        <item x="5"/>
        <item t="default" sd="0"/>
      </items>
    </pivotField>
    <pivotField name="Site" axis="axisCol" compact="0" numFmtId="49" outline="0" showAll="0" sortType="ascending">
      <items count="5">
        <item x="0"/>
        <item x="1"/>
        <item x="2"/>
        <item x="3"/>
        <item t="default" sd="0"/>
      </items>
    </pivotField>
    <pivotField name="Project Description" compact="0" outline="0" showAll="0">
      <items count="101">
        <item x="12"/>
        <item x="98"/>
        <item x="66"/>
        <item x="33"/>
        <item x="2"/>
        <item x="61"/>
        <item x="11"/>
        <item x="21"/>
        <item x="29"/>
        <item x="26"/>
        <item x="60"/>
        <item x="83"/>
        <item x="91"/>
        <item x="96"/>
        <item x="4"/>
        <item x="94"/>
        <item x="95"/>
        <item x="88"/>
        <item x="64"/>
        <item x="93"/>
        <item x="65"/>
        <item x="90"/>
        <item x="28"/>
        <item x="27"/>
        <item x="22"/>
        <item x="86"/>
        <item x="55"/>
        <item x="82"/>
        <item x="53"/>
        <item x="54"/>
        <item x="56"/>
        <item x="80"/>
        <item x="78"/>
        <item x="79"/>
        <item x="81"/>
        <item x="49"/>
        <item x="43"/>
        <item x="69"/>
        <item x="68"/>
        <item x="41"/>
        <item x="1"/>
        <item x="99"/>
        <item x="6"/>
        <item x="73"/>
        <item x="51"/>
        <item x="3"/>
        <item x="71"/>
        <item x="70"/>
        <item x="5"/>
        <item x="45"/>
        <item x="48"/>
        <item x="67"/>
        <item x="42"/>
        <item x="72"/>
        <item x="59"/>
        <item x="47"/>
        <item x="30"/>
        <item x="32"/>
        <item x="17"/>
        <item x="13"/>
        <item x="24"/>
        <item x="18"/>
        <item x="92"/>
        <item x="35"/>
        <item x="52"/>
        <item x="39"/>
        <item x="20"/>
        <item x="75"/>
        <item x="40"/>
        <item x="36"/>
        <item x="31"/>
        <item x="0"/>
        <item x="58"/>
        <item x="44"/>
        <item x="16"/>
        <item x="77"/>
        <item x="57"/>
        <item x="10"/>
        <item x="34"/>
        <item x="76"/>
        <item x="87"/>
        <item x="23"/>
        <item x="19"/>
        <item x="7"/>
        <item x="9"/>
        <item x="62"/>
        <item x="97"/>
        <item x="63"/>
        <item x="50"/>
        <item x="74"/>
        <item x="25"/>
        <item x="85"/>
        <item x="8"/>
        <item x="46"/>
        <item x="38"/>
        <item x="14"/>
        <item x="15"/>
        <item x="37"/>
        <item x="89"/>
        <item x="84"/>
        <item t="default" sd="0"/>
      </items>
    </pivotField>
    <pivotField name="Const Cost" compact="0" outline="0" showAll="0">
      <items count="151">
        <item x="43"/>
        <item x="42"/>
        <item x="41"/>
        <item x="23"/>
        <item x="88"/>
        <item x="22"/>
        <item x="21"/>
        <item x="20"/>
        <item x="19"/>
        <item x="123"/>
        <item x="122"/>
        <item x="40"/>
        <item x="39"/>
        <item x="18"/>
        <item x="87"/>
        <item x="17"/>
        <item x="68"/>
        <item x="67"/>
        <item x="38"/>
        <item x="37"/>
        <item x="16"/>
        <item x="36"/>
        <item x="95"/>
        <item x="98"/>
        <item x="66"/>
        <item x="97"/>
        <item x="103"/>
        <item x="65"/>
        <item x="15"/>
        <item x="64"/>
        <item x="129"/>
        <item x="29"/>
        <item x="86"/>
        <item x="130"/>
        <item x="63"/>
        <item x="105"/>
        <item x="85"/>
        <item x="55"/>
        <item x="34"/>
        <item x="117"/>
        <item x="35"/>
        <item x="131"/>
        <item x="132"/>
        <item x="13"/>
        <item x="84"/>
        <item x="133"/>
        <item x="101"/>
        <item x="113"/>
        <item x="61"/>
        <item x="134"/>
        <item x="60"/>
        <item x="82"/>
        <item x="106"/>
        <item x="62"/>
        <item x="102"/>
        <item x="14"/>
        <item x="33"/>
        <item x="83"/>
        <item x="107"/>
        <item x="12"/>
        <item x="93"/>
        <item x="89"/>
        <item x="118"/>
        <item x="81"/>
        <item x="10"/>
        <item x="112"/>
        <item x="99"/>
        <item x="124"/>
        <item x="59"/>
        <item x="9"/>
        <item x="94"/>
        <item x="8"/>
        <item x="32"/>
        <item x="31"/>
        <item x="30"/>
        <item x="58"/>
        <item x="57"/>
        <item x="80"/>
        <item x="56"/>
        <item x="7"/>
        <item x="11"/>
        <item x="127"/>
        <item x="6"/>
        <item x="79"/>
        <item x="78"/>
        <item x="77"/>
        <item x="53"/>
        <item x="108"/>
        <item x="52"/>
        <item x="90"/>
        <item x="5"/>
        <item x="135"/>
        <item x="126"/>
        <item x="4"/>
        <item x="121"/>
        <item x="51"/>
        <item x="136"/>
        <item x="3"/>
        <item x="119"/>
        <item x="111"/>
        <item x="54"/>
        <item x="28"/>
        <item x="104"/>
        <item x="137"/>
        <item x="27"/>
        <item x="120"/>
        <item x="128"/>
        <item x="76"/>
        <item x="138"/>
        <item x="139"/>
        <item x="115"/>
        <item x="75"/>
        <item x="74"/>
        <item x="140"/>
        <item x="100"/>
        <item x="96"/>
        <item x="50"/>
        <item x="125"/>
        <item x="49"/>
        <item x="48"/>
        <item x="26"/>
        <item x="116"/>
        <item x="2"/>
        <item x="91"/>
        <item x="47"/>
        <item x="73"/>
        <item x="46"/>
        <item x="25"/>
        <item x="141"/>
        <item x="110"/>
        <item x="45"/>
        <item x="24"/>
        <item x="143"/>
        <item x="142"/>
        <item x="109"/>
        <item x="144"/>
        <item x="72"/>
        <item x="1"/>
        <item x="114"/>
        <item x="71"/>
        <item x="44"/>
        <item x="92"/>
        <item x="145"/>
        <item x="70"/>
        <item x="0"/>
        <item x="146"/>
        <item x="147"/>
        <item x="148"/>
        <item x="69"/>
        <item x="149"/>
        <item t="default" sd="0"/>
      </items>
    </pivotField>
    <pivotField name="Total Cost (+33%)" dataField="1" compact="0" outline="0" showAll="0"/>
    <pivotField name="Priority" axis="axisPage" compact="0" outline="0" multipleItemSelectionAllowed="1" showAll="0">
      <items count="4">
        <item x="0"/>
        <item h="1" x="2"/>
        <item h="1" x="1"/>
        <item t="default" sd="0"/>
      </items>
    </pivotField>
    <pivotField name="Notes" compact="0" outline="0" showAll="0">
      <items count="17">
        <item x="10"/>
        <item x="12"/>
        <item x="8"/>
        <item x="14"/>
        <item x="6"/>
        <item x="4"/>
        <item x="9"/>
        <item x="1"/>
        <item x="5"/>
        <item x="7"/>
        <item x="11"/>
        <item x="13"/>
        <item x="0"/>
        <item x="2"/>
        <item x="3"/>
        <item x="15"/>
        <item t="default" sd="0"/>
      </items>
    </pivotField>
  </pivotFields>
  <rowFields count="1">
    <field x="1"/>
  </rowFields>
  <rowItems count="10">
    <i>
      <x v="1"/>
    </i>
    <i>
      <x v="3"/>
    </i>
    <i>
      <x v="4"/>
    </i>
    <i>
      <x v="5"/>
    </i>
    <i>
      <x v="6"/>
    </i>
    <i>
      <x v="10"/>
    </i>
    <i>
      <x v="11"/>
    </i>
    <i>
      <x v="12"/>
    </i>
    <i>
      <x v="13"/>
    </i>
    <i t="grand">
      <x/>
    </i>
  </rowItems>
  <colFields count="1">
    <field x="2"/>
  </colFields>
  <colItems count="5">
    <i>
      <x/>
    </i>
    <i>
      <x v="1"/>
    </i>
    <i>
      <x v="2"/>
    </i>
    <i>
      <x v="3"/>
    </i>
    <i t="grand">
      <x/>
    </i>
  </colItems>
  <pageFields count="1">
    <pageField fld="6" hier="-1"/>
  </pageFields>
  <dataFields count="1">
    <dataField name="Sum of Total Cost (+33%)" fld="5" baseField="0" baseItem="0" numFmtId="164"/>
  </dataField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1"/>
  <sheetViews>
    <sheetView showGridLines="0" workbookViewId="0"/>
  </sheetViews>
  <sheetFormatPr baseColWidth="10" defaultColWidth="10" defaultRowHeight="13" customHeight="1" x14ac:dyDescent="0.15"/>
  <cols>
    <col min="1" max="1" width="2" customWidth="1"/>
    <col min="2" max="4" width="33.59765625" customWidth="1"/>
  </cols>
  <sheetData>
    <row r="3" spans="2:4" ht="50" customHeight="1" x14ac:dyDescent="0.15">
      <c r="B3" s="122" t="s">
        <v>0</v>
      </c>
      <c r="C3" s="123"/>
      <c r="D3" s="123"/>
    </row>
    <row r="7" spans="2:4" ht="18" x14ac:dyDescent="0.15">
      <c r="B7" s="1" t="s">
        <v>1</v>
      </c>
      <c r="C7" s="1" t="s">
        <v>2</v>
      </c>
      <c r="D7" s="1" t="s">
        <v>3</v>
      </c>
    </row>
    <row r="9" spans="2:4" ht="16" x14ac:dyDescent="0.15">
      <c r="B9" s="2" t="s">
        <v>4</v>
      </c>
      <c r="C9" s="2"/>
      <c r="D9" s="2"/>
    </row>
    <row r="10" spans="2:4" ht="16" x14ac:dyDescent="0.15">
      <c r="B10" s="3"/>
      <c r="C10" s="3" t="s">
        <v>5</v>
      </c>
      <c r="D10" s="4" t="s">
        <v>4</v>
      </c>
    </row>
    <row r="11" spans="2:4" ht="16" x14ac:dyDescent="0.15">
      <c r="B11" s="2" t="s">
        <v>302</v>
      </c>
      <c r="C11" s="2"/>
      <c r="D11" s="2"/>
    </row>
    <row r="12" spans="2:4" ht="16" x14ac:dyDescent="0.15">
      <c r="B12" s="3"/>
      <c r="C12" s="3" t="s">
        <v>5</v>
      </c>
      <c r="D12" s="4" t="s">
        <v>302</v>
      </c>
    </row>
    <row r="13" spans="2:4" ht="16" x14ac:dyDescent="0.15">
      <c r="B13" s="2" t="s">
        <v>622</v>
      </c>
      <c r="C13" s="2"/>
      <c r="D13" s="2"/>
    </row>
    <row r="14" spans="2:4" ht="16" x14ac:dyDescent="0.15">
      <c r="B14" s="3"/>
      <c r="C14" s="3" t="s">
        <v>5</v>
      </c>
      <c r="D14" s="4" t="s">
        <v>622</v>
      </c>
    </row>
    <row r="15" spans="2:4" ht="16" x14ac:dyDescent="0.15">
      <c r="B15" s="2" t="s">
        <v>633</v>
      </c>
      <c r="C15" s="2"/>
      <c r="D15" s="2"/>
    </row>
    <row r="16" spans="2:4" ht="16" x14ac:dyDescent="0.15">
      <c r="B16" s="3"/>
      <c r="C16" s="3" t="s">
        <v>634</v>
      </c>
      <c r="D16" s="4" t="s">
        <v>635</v>
      </c>
    </row>
    <row r="17" spans="2:4" ht="16" x14ac:dyDescent="0.15">
      <c r="B17" s="3"/>
      <c r="C17" s="3" t="s">
        <v>5</v>
      </c>
      <c r="D17" s="4" t="s">
        <v>638</v>
      </c>
    </row>
    <row r="18" spans="2:4" ht="16" x14ac:dyDescent="0.15">
      <c r="B18" s="2" t="s">
        <v>640</v>
      </c>
      <c r="C18" s="2"/>
      <c r="D18" s="2"/>
    </row>
    <row r="19" spans="2:4" ht="16" x14ac:dyDescent="0.15">
      <c r="B19" s="3"/>
      <c r="C19" s="3" t="s">
        <v>5</v>
      </c>
      <c r="D19" s="4" t="s">
        <v>640</v>
      </c>
    </row>
    <row r="20" spans="2:4" ht="16" x14ac:dyDescent="0.15">
      <c r="B20" s="2" t="s">
        <v>648</v>
      </c>
      <c r="C20" s="2"/>
      <c r="D20" s="2"/>
    </row>
    <row r="21" spans="2:4" ht="16" x14ac:dyDescent="0.15">
      <c r="B21" s="3"/>
      <c r="C21" s="3" t="s">
        <v>5</v>
      </c>
      <c r="D21" s="4" t="s">
        <v>648</v>
      </c>
    </row>
  </sheetData>
  <mergeCells count="1">
    <mergeCell ref="B3:D3"/>
  </mergeCells>
  <hyperlinks>
    <hyperlink ref="D10" location="'RawExport'!R1C1" display="RawExport" xr:uid="{00000000-0004-0000-0000-000000000000}"/>
    <hyperlink ref="D12" location="'ProjList_Init'!R1C1" display="ProjList_Init" xr:uid="{00000000-0004-0000-0000-000001000000}"/>
    <hyperlink ref="D14" location="'ProjList_Mod'!R1C1" display="ProjList_Mod" xr:uid="{00000000-0004-0000-0000-000002000000}"/>
    <hyperlink ref="D16" location="'Pivots - PivotTable1'!R2C1" display="Pivots - PivotTable1" xr:uid="{00000000-0004-0000-0000-000003000000}"/>
    <hyperlink ref="D17" location="'Pivots - Table 1'!R1C1" display="Pivots - Table 1" xr:uid="{00000000-0004-0000-0000-000004000000}"/>
    <hyperlink ref="D19" location="'Sheet4'!R1C1" display="Sheet4" xr:uid="{00000000-0004-0000-0000-000005000000}"/>
    <hyperlink ref="D21" location="'Lookups'!R1C1" display="Lookups"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03"/>
  <sheetViews>
    <sheetView showGridLines="0" tabSelected="1" topLeftCell="A101" zoomScale="130" zoomScaleNormal="130" workbookViewId="0">
      <selection activeCell="K105" sqref="K105:O105"/>
    </sheetView>
  </sheetViews>
  <sheetFormatPr baseColWidth="10" defaultColWidth="9" defaultRowHeight="13" customHeight="1" x14ac:dyDescent="0.15"/>
  <cols>
    <col min="1" max="1" width="47.796875" style="5" customWidth="1"/>
    <col min="2" max="2" width="3.3984375" style="5" customWidth="1"/>
    <col min="3" max="3" width="4.59765625" style="5" customWidth="1"/>
    <col min="4" max="4" width="5.796875" style="5" customWidth="1"/>
    <col min="5" max="5" width="3.3984375" style="5" customWidth="1"/>
    <col min="6" max="6" width="2.19921875" style="5" customWidth="1"/>
    <col min="7" max="7" width="4.59765625" style="5" customWidth="1"/>
    <col min="8" max="8" width="11.3984375" style="5" customWidth="1"/>
    <col min="9" max="9" width="5.796875" style="5" customWidth="1"/>
    <col min="10" max="10" width="11.3984375" style="5" customWidth="1"/>
    <col min="11" max="11" width="4.59765625" style="5" customWidth="1"/>
    <col min="12" max="12" width="6.796875" style="5" customWidth="1"/>
    <col min="13" max="13" width="5.796875" style="5" customWidth="1"/>
    <col min="14" max="14" width="4.59765625" style="5" customWidth="1"/>
    <col min="15" max="15" width="1.59765625" style="5" customWidth="1"/>
    <col min="16" max="16" width="3.3984375" style="5" customWidth="1"/>
    <col min="17" max="17" width="1.59765625" style="5" customWidth="1"/>
    <col min="18" max="18" width="4.59765625" style="5" customWidth="1"/>
    <col min="19" max="19" width="3.3984375" style="5" customWidth="1"/>
    <col min="20" max="20" width="9" style="5" customWidth="1"/>
    <col min="21" max="16384" width="9" style="5"/>
  </cols>
  <sheetData>
    <row r="1" spans="1:19" ht="25" customHeight="1" x14ac:dyDescent="0.15">
      <c r="A1" s="181"/>
      <c r="B1" s="181"/>
      <c r="C1" s="181"/>
      <c r="D1" s="181"/>
      <c r="E1" s="181"/>
      <c r="F1" s="181"/>
      <c r="G1" s="181"/>
      <c r="H1" s="181"/>
      <c r="I1" s="181"/>
      <c r="J1" s="181"/>
      <c r="K1" s="181"/>
      <c r="L1" s="181"/>
      <c r="M1" s="181"/>
      <c r="N1" s="181"/>
      <c r="O1" s="181"/>
      <c r="P1" s="181"/>
      <c r="Q1" s="181"/>
      <c r="R1" s="181"/>
      <c r="S1" s="6"/>
    </row>
    <row r="2" spans="1:19" ht="81" customHeight="1" x14ac:dyDescent="0.15">
      <c r="A2" s="395" t="s">
        <v>6</v>
      </c>
      <c r="B2" s="396"/>
      <c r="C2" s="396"/>
      <c r="D2" s="396"/>
      <c r="E2" s="396"/>
      <c r="F2" s="396"/>
      <c r="G2" s="396"/>
      <c r="H2" s="396"/>
      <c r="I2" s="396"/>
      <c r="J2" s="396"/>
      <c r="K2" s="396"/>
      <c r="L2" s="396"/>
      <c r="M2" s="396"/>
      <c r="N2" s="396"/>
      <c r="O2" s="396"/>
      <c r="P2" s="396"/>
      <c r="Q2" s="396"/>
      <c r="R2" s="396"/>
      <c r="S2" s="6"/>
    </row>
    <row r="3" spans="1:19" ht="69.75" customHeight="1" x14ac:dyDescent="0.15">
      <c r="A3" s="397" t="s">
        <v>7</v>
      </c>
      <c r="B3" s="398"/>
      <c r="C3" s="398"/>
      <c r="D3" s="398"/>
      <c r="E3" s="398"/>
      <c r="F3" s="398"/>
      <c r="G3" s="398"/>
      <c r="H3" s="398"/>
      <c r="I3" s="398"/>
      <c r="J3" s="398"/>
      <c r="K3" s="398"/>
      <c r="L3" s="398"/>
      <c r="M3" s="398"/>
      <c r="N3" s="398"/>
      <c r="O3" s="235"/>
      <c r="P3" s="235"/>
      <c r="Q3" s="235"/>
      <c r="R3" s="235"/>
      <c r="S3" s="6"/>
    </row>
    <row r="4" spans="1:19" ht="14.5" customHeight="1" x14ac:dyDescent="0.15">
      <c r="A4" s="399"/>
      <c r="B4" s="152"/>
      <c r="C4" s="152"/>
      <c r="D4" s="152"/>
      <c r="E4" s="152"/>
      <c r="F4" s="152"/>
      <c r="G4" s="152"/>
      <c r="H4" s="152"/>
      <c r="I4" s="152"/>
      <c r="J4" s="152"/>
      <c r="K4" s="152"/>
      <c r="L4" s="152"/>
      <c r="M4" s="152"/>
      <c r="N4" s="152"/>
      <c r="O4" s="272"/>
      <c r="P4" s="181"/>
      <c r="Q4" s="181"/>
      <c r="R4" s="181"/>
      <c r="S4" s="6"/>
    </row>
    <row r="5" spans="1:19" ht="409" customHeight="1" x14ac:dyDescent="0.15">
      <c r="A5" s="400" t="s">
        <v>8</v>
      </c>
      <c r="B5" s="401"/>
      <c r="C5" s="401"/>
      <c r="D5" s="401"/>
      <c r="E5" s="401"/>
      <c r="F5" s="401"/>
      <c r="G5" s="401"/>
      <c r="H5" s="401"/>
      <c r="I5" s="401"/>
      <c r="J5" s="401"/>
      <c r="K5" s="401"/>
      <c r="L5" s="401"/>
      <c r="M5" s="401"/>
      <c r="N5" s="401"/>
      <c r="O5" s="235"/>
      <c r="P5" s="235"/>
      <c r="Q5" s="235"/>
      <c r="R5" s="235"/>
      <c r="S5" s="6"/>
    </row>
    <row r="6" spans="1:19" ht="27.75" customHeight="1" x14ac:dyDescent="0.15">
      <c r="A6" s="402" t="s">
        <v>9</v>
      </c>
      <c r="B6" s="403"/>
      <c r="C6" s="403"/>
      <c r="D6" s="403"/>
      <c r="E6" s="403"/>
      <c r="F6" s="403"/>
      <c r="G6" s="403"/>
      <c r="H6" s="403"/>
      <c r="I6" s="403"/>
      <c r="J6" s="403"/>
      <c r="K6" s="403"/>
      <c r="L6" s="403"/>
      <c r="M6" s="403"/>
      <c r="N6" s="403"/>
      <c r="O6" s="272"/>
      <c r="P6" s="181"/>
      <c r="Q6" s="181"/>
      <c r="R6" s="181"/>
      <c r="S6" s="6"/>
    </row>
    <row r="7" spans="1:19" ht="8" customHeight="1" x14ac:dyDescent="0.15">
      <c r="A7" s="7"/>
      <c r="B7" s="7"/>
      <c r="C7" s="7"/>
      <c r="D7" s="7"/>
      <c r="E7" s="7"/>
      <c r="F7" s="7"/>
      <c r="G7" s="7"/>
      <c r="H7" s="7"/>
      <c r="I7" s="7"/>
      <c r="J7" s="7"/>
      <c r="K7" s="7"/>
      <c r="L7" s="7"/>
      <c r="M7" s="7"/>
      <c r="N7" s="7"/>
      <c r="O7" s="6"/>
      <c r="P7" s="6"/>
      <c r="Q7" s="6"/>
      <c r="R7" s="6"/>
      <c r="S7" s="6"/>
    </row>
    <row r="8" spans="1:19" ht="49.5" customHeight="1" x14ac:dyDescent="0.15">
      <c r="A8" s="404" t="s">
        <v>10</v>
      </c>
      <c r="B8" s="393"/>
      <c r="C8" s="393"/>
      <c r="D8" s="393"/>
      <c r="E8" s="393"/>
      <c r="F8" s="393"/>
      <c r="G8" s="393"/>
      <c r="H8" s="393"/>
      <c r="I8" s="393"/>
      <c r="J8" s="393"/>
      <c r="K8" s="393"/>
      <c r="L8" s="393"/>
      <c r="M8" s="210"/>
      <c r="N8" s="210"/>
      <c r="O8" s="210"/>
      <c r="P8" s="210"/>
      <c r="Q8" s="6"/>
      <c r="R8" s="6"/>
      <c r="S8" s="6"/>
    </row>
    <row r="9" spans="1:19" ht="17.25" customHeight="1" x14ac:dyDescent="0.15">
      <c r="A9" s="270" t="s">
        <v>11</v>
      </c>
      <c r="B9" s="271"/>
      <c r="C9" s="271"/>
      <c r="D9" s="271"/>
      <c r="E9" s="271"/>
      <c r="F9" s="271"/>
      <c r="G9" s="271"/>
      <c r="H9" s="271"/>
      <c r="I9" s="271"/>
      <c r="J9" s="271"/>
      <c r="K9" s="271"/>
      <c r="L9" s="271"/>
      <c r="M9" s="272"/>
      <c r="N9" s="181"/>
      <c r="O9" s="181"/>
      <c r="P9" s="181"/>
      <c r="Q9" s="6"/>
      <c r="R9" s="6"/>
      <c r="S9" s="6"/>
    </row>
    <row r="10" spans="1:19" ht="21" customHeight="1" x14ac:dyDescent="0.15">
      <c r="A10" s="405"/>
      <c r="B10" s="405"/>
      <c r="C10" s="405"/>
      <c r="D10" s="405"/>
      <c r="E10" s="405"/>
      <c r="F10" s="405"/>
      <c r="G10" s="405"/>
      <c r="H10" s="405"/>
      <c r="I10" s="405"/>
      <c r="J10" s="405"/>
      <c r="K10" s="405"/>
      <c r="L10" s="405"/>
      <c r="M10" s="181"/>
      <c r="N10" s="181"/>
      <c r="O10" s="181"/>
      <c r="P10" s="181"/>
      <c r="Q10" s="6"/>
      <c r="R10" s="6"/>
      <c r="S10" s="6"/>
    </row>
    <row r="11" spans="1:19" ht="14.25" customHeight="1" x14ac:dyDescent="0.15">
      <c r="A11" s="384" t="s">
        <v>12</v>
      </c>
      <c r="B11" s="132"/>
      <c r="C11" s="132"/>
      <c r="D11" s="132"/>
      <c r="E11" s="132"/>
      <c r="F11" s="132"/>
      <c r="G11" s="132"/>
      <c r="H11" s="132"/>
      <c r="I11" s="132"/>
      <c r="J11" s="132"/>
      <c r="K11" s="132"/>
      <c r="L11" s="132"/>
      <c r="M11" s="272"/>
      <c r="N11" s="181"/>
      <c r="O11" s="181"/>
      <c r="P11" s="181"/>
      <c r="Q11" s="6"/>
      <c r="R11" s="6"/>
      <c r="S11" s="6"/>
    </row>
    <row r="12" spans="1:19" ht="37.75" customHeight="1" x14ac:dyDescent="0.15">
      <c r="A12" s="406" t="s">
        <v>13</v>
      </c>
      <c r="B12" s="407"/>
      <c r="C12" s="407"/>
      <c r="D12" s="407"/>
      <c r="E12" s="407"/>
      <c r="F12" s="407"/>
      <c r="G12" s="407"/>
      <c r="H12" s="407"/>
      <c r="I12" s="407"/>
      <c r="J12" s="407"/>
      <c r="K12" s="407"/>
      <c r="L12" s="407"/>
      <c r="M12" s="387"/>
      <c r="N12" s="387"/>
      <c r="O12" s="387"/>
      <c r="P12" s="387"/>
      <c r="Q12" s="6"/>
      <c r="R12" s="6"/>
      <c r="S12" s="6"/>
    </row>
    <row r="13" spans="1:19" ht="14.25" customHeight="1" x14ac:dyDescent="0.15">
      <c r="A13" s="384" t="s">
        <v>14</v>
      </c>
      <c r="B13" s="132"/>
      <c r="C13" s="132"/>
      <c r="D13" s="132"/>
      <c r="E13" s="132"/>
      <c r="F13" s="132"/>
      <c r="G13" s="132"/>
      <c r="H13" s="132"/>
      <c r="I13" s="132"/>
      <c r="J13" s="132"/>
      <c r="K13" s="132"/>
      <c r="L13" s="132"/>
      <c r="M13" s="272"/>
      <c r="N13" s="181"/>
      <c r="O13" s="181"/>
      <c r="P13" s="181"/>
      <c r="Q13" s="6"/>
      <c r="R13" s="6"/>
      <c r="S13" s="6"/>
    </row>
    <row r="14" spans="1:19" ht="28.5" customHeight="1" x14ac:dyDescent="0.15">
      <c r="A14" s="385" t="s">
        <v>15</v>
      </c>
      <c r="B14" s="386"/>
      <c r="C14" s="386"/>
      <c r="D14" s="386"/>
      <c r="E14" s="386"/>
      <c r="F14" s="386"/>
      <c r="G14" s="386"/>
      <c r="H14" s="386"/>
      <c r="I14" s="386"/>
      <c r="J14" s="386"/>
      <c r="K14" s="386"/>
      <c r="L14" s="386"/>
      <c r="M14" s="387"/>
      <c r="N14" s="387"/>
      <c r="O14" s="387"/>
      <c r="P14" s="387"/>
      <c r="Q14" s="6"/>
      <c r="R14" s="6"/>
      <c r="S14" s="6"/>
    </row>
    <row r="15" spans="1:19" ht="57" customHeight="1" x14ac:dyDescent="0.15">
      <c r="A15" s="388" t="s">
        <v>16</v>
      </c>
      <c r="B15" s="210"/>
      <c r="C15" s="210"/>
      <c r="D15" s="210"/>
      <c r="E15" s="210"/>
      <c r="F15" s="210"/>
      <c r="G15" s="210"/>
      <c r="H15" s="210"/>
      <c r="I15" s="210"/>
      <c r="J15" s="210"/>
      <c r="K15" s="210"/>
      <c r="L15" s="210"/>
      <c r="M15" s="210"/>
      <c r="N15" s="210"/>
      <c r="O15" s="210"/>
      <c r="P15" s="210"/>
      <c r="Q15" s="6"/>
      <c r="R15" s="6"/>
      <c r="S15" s="6"/>
    </row>
    <row r="16" spans="1:19" ht="24.75" customHeight="1" x14ac:dyDescent="0.15">
      <c r="A16" s="389" t="s">
        <v>17</v>
      </c>
      <c r="B16" s="390"/>
      <c r="C16" s="390"/>
      <c r="D16" s="390"/>
      <c r="E16" s="390"/>
      <c r="F16" s="390"/>
      <c r="G16" s="390"/>
      <c r="H16" s="390"/>
      <c r="I16" s="390"/>
      <c r="J16" s="390"/>
      <c r="K16" s="390"/>
      <c r="L16" s="390"/>
      <c r="M16" s="391"/>
      <c r="N16" s="391"/>
      <c r="O16" s="391"/>
      <c r="P16" s="391"/>
      <c r="Q16" s="6"/>
      <c r="R16" s="6"/>
      <c r="S16" s="6"/>
    </row>
    <row r="17" spans="1:19" ht="14.25" customHeight="1" x14ac:dyDescent="0.15">
      <c r="A17" s="384" t="s">
        <v>18</v>
      </c>
      <c r="B17" s="132"/>
      <c r="C17" s="132"/>
      <c r="D17" s="132"/>
      <c r="E17" s="132"/>
      <c r="F17" s="132"/>
      <c r="G17" s="132"/>
      <c r="H17" s="132"/>
      <c r="I17" s="132"/>
      <c r="J17" s="132"/>
      <c r="K17" s="132"/>
      <c r="L17" s="132"/>
      <c r="M17" s="272"/>
      <c r="N17" s="181"/>
      <c r="O17" s="181"/>
      <c r="P17" s="181"/>
      <c r="Q17" s="6"/>
      <c r="R17" s="6"/>
      <c r="S17" s="6"/>
    </row>
    <row r="18" spans="1:19" ht="28.5" customHeight="1" x14ac:dyDescent="0.15">
      <c r="A18" s="385" t="s">
        <v>19</v>
      </c>
      <c r="B18" s="386"/>
      <c r="C18" s="386"/>
      <c r="D18" s="386"/>
      <c r="E18" s="386"/>
      <c r="F18" s="386"/>
      <c r="G18" s="386"/>
      <c r="H18" s="386"/>
      <c r="I18" s="386"/>
      <c r="J18" s="386"/>
      <c r="K18" s="386"/>
      <c r="L18" s="386"/>
      <c r="M18" s="387"/>
      <c r="N18" s="387"/>
      <c r="O18" s="387"/>
      <c r="P18" s="387"/>
      <c r="Q18" s="6"/>
      <c r="R18" s="6"/>
      <c r="S18" s="6"/>
    </row>
    <row r="19" spans="1:19" ht="90.75" customHeight="1" x14ac:dyDescent="0.15">
      <c r="A19" s="392" t="s">
        <v>20</v>
      </c>
      <c r="B19" s="393"/>
      <c r="C19" s="393"/>
      <c r="D19" s="393"/>
      <c r="E19" s="393"/>
      <c r="F19" s="393"/>
      <c r="G19" s="393"/>
      <c r="H19" s="393"/>
      <c r="I19" s="393"/>
      <c r="J19" s="393"/>
      <c r="K19" s="393"/>
      <c r="L19" s="393"/>
      <c r="M19" s="210"/>
      <c r="N19" s="210"/>
      <c r="O19" s="210"/>
      <c r="P19" s="210"/>
      <c r="Q19" s="6"/>
      <c r="R19" s="6"/>
      <c r="S19" s="6"/>
    </row>
    <row r="20" spans="1:19" ht="14.25" customHeight="1" x14ac:dyDescent="0.15">
      <c r="A20" s="384" t="s">
        <v>21</v>
      </c>
      <c r="B20" s="132"/>
      <c r="C20" s="132"/>
      <c r="D20" s="132"/>
      <c r="E20" s="132"/>
      <c r="F20" s="132"/>
      <c r="G20" s="132"/>
      <c r="H20" s="132"/>
      <c r="I20" s="132"/>
      <c r="J20" s="132"/>
      <c r="K20" s="132"/>
      <c r="L20" s="132"/>
      <c r="M20" s="272"/>
      <c r="N20" s="181"/>
      <c r="O20" s="181"/>
      <c r="P20" s="181"/>
      <c r="Q20" s="6"/>
      <c r="R20" s="6"/>
      <c r="S20" s="6"/>
    </row>
    <row r="21" spans="1:19" ht="28.5" customHeight="1" x14ac:dyDescent="0.15">
      <c r="A21" s="385" t="s">
        <v>19</v>
      </c>
      <c r="B21" s="386"/>
      <c r="C21" s="386"/>
      <c r="D21" s="386"/>
      <c r="E21" s="386"/>
      <c r="F21" s="386"/>
      <c r="G21" s="386"/>
      <c r="H21" s="386"/>
      <c r="I21" s="386"/>
      <c r="J21" s="386"/>
      <c r="K21" s="386"/>
      <c r="L21" s="386"/>
      <c r="M21" s="387"/>
      <c r="N21" s="387"/>
      <c r="O21" s="387"/>
      <c r="P21" s="387"/>
      <c r="Q21" s="6"/>
      <c r="R21" s="6"/>
      <c r="S21" s="6"/>
    </row>
    <row r="22" spans="1:19" ht="42.75" customHeight="1" x14ac:dyDescent="0.15">
      <c r="A22" s="388" t="s">
        <v>22</v>
      </c>
      <c r="B22" s="210"/>
      <c r="C22" s="210"/>
      <c r="D22" s="210"/>
      <c r="E22" s="210"/>
      <c r="F22" s="210"/>
      <c r="G22" s="210"/>
      <c r="H22" s="210"/>
      <c r="I22" s="210"/>
      <c r="J22" s="210"/>
      <c r="K22" s="210"/>
      <c r="L22" s="210"/>
      <c r="M22" s="210"/>
      <c r="N22" s="210"/>
      <c r="O22" s="210"/>
      <c r="P22" s="210"/>
      <c r="Q22" s="6"/>
      <c r="R22" s="6"/>
      <c r="S22" s="6"/>
    </row>
    <row r="23" spans="1:19" ht="28.5" customHeight="1" x14ac:dyDescent="0.15">
      <c r="A23" s="388" t="s">
        <v>23</v>
      </c>
      <c r="B23" s="210"/>
      <c r="C23" s="210"/>
      <c r="D23" s="210"/>
      <c r="E23" s="210"/>
      <c r="F23" s="210"/>
      <c r="G23" s="210"/>
      <c r="H23" s="210"/>
      <c r="I23" s="210"/>
      <c r="J23" s="210"/>
      <c r="K23" s="210"/>
      <c r="L23" s="210"/>
      <c r="M23" s="210"/>
      <c r="N23" s="210"/>
      <c r="O23" s="210"/>
      <c r="P23" s="210"/>
      <c r="Q23" s="6"/>
      <c r="R23" s="6"/>
      <c r="S23" s="6"/>
    </row>
    <row r="24" spans="1:19" ht="63.25" customHeight="1" x14ac:dyDescent="0.15">
      <c r="A24" s="388" t="s">
        <v>24</v>
      </c>
      <c r="B24" s="210"/>
      <c r="C24" s="210"/>
      <c r="D24" s="210"/>
      <c r="E24" s="210"/>
      <c r="F24" s="210"/>
      <c r="G24" s="210"/>
      <c r="H24" s="210"/>
      <c r="I24" s="210"/>
      <c r="J24" s="210"/>
      <c r="K24" s="210"/>
      <c r="L24" s="210"/>
      <c r="M24" s="210"/>
      <c r="N24" s="210"/>
      <c r="O24" s="210"/>
      <c r="P24" s="210"/>
      <c r="Q24" s="6"/>
      <c r="R24" s="6"/>
      <c r="S24" s="6"/>
    </row>
    <row r="25" spans="1:19" ht="77.5" customHeight="1" x14ac:dyDescent="0.15">
      <c r="A25" s="394" t="s">
        <v>10</v>
      </c>
      <c r="B25" s="335"/>
      <c r="C25" s="335"/>
      <c r="D25" s="335"/>
      <c r="E25" s="335"/>
      <c r="F25" s="335"/>
      <c r="G25" s="335"/>
      <c r="H25" s="335"/>
      <c r="I25" s="335"/>
      <c r="J25" s="335"/>
      <c r="K25" s="335"/>
      <c r="L25" s="335"/>
      <c r="M25" s="335"/>
      <c r="N25" s="335"/>
      <c r="O25" s="168"/>
      <c r="P25" s="168"/>
      <c r="Q25" s="168"/>
      <c r="R25" s="168"/>
      <c r="S25" s="6"/>
    </row>
    <row r="26" spans="1:19" ht="17.25" customHeight="1" x14ac:dyDescent="0.15">
      <c r="A26" s="270" t="s">
        <v>25</v>
      </c>
      <c r="B26" s="271"/>
      <c r="C26" s="271"/>
      <c r="D26" s="271"/>
      <c r="E26" s="271"/>
      <c r="F26" s="271"/>
      <c r="G26" s="271"/>
      <c r="H26" s="271"/>
      <c r="I26" s="271"/>
      <c r="J26" s="271"/>
      <c r="K26" s="271"/>
      <c r="L26" s="271"/>
      <c r="M26" s="271"/>
      <c r="N26" s="271"/>
      <c r="O26" s="272"/>
      <c r="P26" s="181"/>
      <c r="Q26" s="181"/>
      <c r="R26" s="181"/>
      <c r="S26" s="6"/>
    </row>
    <row r="27" spans="1:19" ht="26.25" customHeight="1" x14ac:dyDescent="0.15">
      <c r="A27" s="165"/>
      <c r="B27" s="165"/>
      <c r="C27" s="165"/>
      <c r="D27" s="141"/>
      <c r="E27" s="141"/>
      <c r="F27" s="141"/>
      <c r="G27" s="141"/>
      <c r="H27" s="141"/>
      <c r="I27" s="141"/>
      <c r="J27" s="141"/>
      <c r="K27" s="141"/>
      <c r="L27" s="141"/>
      <c r="M27" s="141"/>
      <c r="N27" s="141"/>
      <c r="O27" s="168"/>
      <c r="P27" s="168"/>
      <c r="Q27" s="168"/>
      <c r="R27" s="168"/>
      <c r="S27" s="6"/>
    </row>
    <row r="28" spans="1:19" ht="14.25" customHeight="1" x14ac:dyDescent="0.15">
      <c r="A28" s="364"/>
      <c r="B28" s="364"/>
      <c r="C28" s="365"/>
      <c r="D28" s="128"/>
      <c r="E28" s="129"/>
      <c r="F28" s="129"/>
      <c r="G28" s="129"/>
      <c r="H28" s="129"/>
      <c r="I28" s="129"/>
      <c r="J28" s="129"/>
      <c r="K28" s="130"/>
      <c r="L28" s="366" t="s">
        <v>26</v>
      </c>
      <c r="M28" s="367"/>
      <c r="N28" s="368"/>
      <c r="O28" s="180"/>
      <c r="P28" s="181"/>
      <c r="Q28" s="181"/>
      <c r="R28" s="181"/>
      <c r="S28" s="6"/>
    </row>
    <row r="29" spans="1:19" ht="41.25" customHeight="1" x14ac:dyDescent="0.15">
      <c r="A29" s="369" t="s">
        <v>27</v>
      </c>
      <c r="B29" s="370"/>
      <c r="C29" s="371"/>
      <c r="D29" s="372" t="s">
        <v>28</v>
      </c>
      <c r="E29" s="373"/>
      <c r="F29" s="373"/>
      <c r="G29" s="373"/>
      <c r="H29" s="373"/>
      <c r="I29" s="373"/>
      <c r="J29" s="373"/>
      <c r="K29" s="374"/>
      <c r="L29" s="131" t="s">
        <v>29</v>
      </c>
      <c r="M29" s="132"/>
      <c r="N29" s="133"/>
      <c r="O29" s="167"/>
      <c r="P29" s="168"/>
      <c r="Q29" s="168"/>
      <c r="R29" s="168"/>
      <c r="S29" s="6"/>
    </row>
    <row r="30" spans="1:19" ht="14.25" customHeight="1" x14ac:dyDescent="0.15">
      <c r="A30" s="375" t="s">
        <v>30</v>
      </c>
      <c r="B30" s="376"/>
      <c r="C30" s="377"/>
      <c r="D30" s="378">
        <v>435600</v>
      </c>
      <c r="E30" s="379"/>
      <c r="F30" s="379"/>
      <c r="G30" s="380"/>
      <c r="H30" s="378">
        <v>52770</v>
      </c>
      <c r="I30" s="380"/>
      <c r="J30" s="378">
        <v>18520</v>
      </c>
      <c r="K30" s="380"/>
      <c r="L30" s="381">
        <v>49788000</v>
      </c>
      <c r="M30" s="382"/>
      <c r="N30" s="383"/>
      <c r="O30" s="180"/>
      <c r="P30" s="181"/>
      <c r="Q30" s="181"/>
      <c r="R30" s="181"/>
      <c r="S30" s="6"/>
    </row>
    <row r="31" spans="1:19" ht="14.25" customHeight="1" x14ac:dyDescent="0.15">
      <c r="A31" s="355" t="s">
        <v>31</v>
      </c>
      <c r="B31" s="356"/>
      <c r="C31" s="357"/>
      <c r="D31" s="358">
        <v>339768</v>
      </c>
      <c r="E31" s="359"/>
      <c r="F31" s="359"/>
      <c r="G31" s="360"/>
      <c r="H31" s="358">
        <v>35880</v>
      </c>
      <c r="I31" s="360"/>
      <c r="J31" s="358">
        <v>39581</v>
      </c>
      <c r="K31" s="360"/>
      <c r="L31" s="361">
        <v>64695000</v>
      </c>
      <c r="M31" s="362"/>
      <c r="N31" s="363"/>
      <c r="O31" s="180"/>
      <c r="P31" s="181"/>
      <c r="Q31" s="181"/>
      <c r="R31" s="181"/>
      <c r="S31" s="6"/>
    </row>
    <row r="32" spans="1:19" ht="14.25" customHeight="1" x14ac:dyDescent="0.15">
      <c r="A32" s="355" t="s">
        <v>32</v>
      </c>
      <c r="B32" s="356"/>
      <c r="C32" s="357"/>
      <c r="D32" s="358">
        <v>631620</v>
      </c>
      <c r="E32" s="359"/>
      <c r="F32" s="359"/>
      <c r="G32" s="360"/>
      <c r="H32" s="358">
        <v>64030</v>
      </c>
      <c r="I32" s="360"/>
      <c r="J32" s="358">
        <v>8308</v>
      </c>
      <c r="K32" s="360"/>
      <c r="L32" s="361">
        <v>51816000</v>
      </c>
      <c r="M32" s="362"/>
      <c r="N32" s="363"/>
      <c r="O32" s="180"/>
      <c r="P32" s="181"/>
      <c r="Q32" s="181"/>
      <c r="R32" s="181"/>
      <c r="S32" s="6"/>
    </row>
    <row r="33" spans="1:19" ht="14.25" customHeight="1" x14ac:dyDescent="0.15">
      <c r="A33" s="355" t="s">
        <v>33</v>
      </c>
      <c r="B33" s="356"/>
      <c r="C33" s="357"/>
      <c r="D33" s="358">
        <v>1080288</v>
      </c>
      <c r="E33" s="359"/>
      <c r="F33" s="359"/>
      <c r="G33" s="360"/>
      <c r="H33" s="358">
        <v>150194</v>
      </c>
      <c r="I33" s="360"/>
      <c r="J33" s="358">
        <v>50577</v>
      </c>
      <c r="K33" s="360"/>
      <c r="L33" s="361">
        <v>171492000</v>
      </c>
      <c r="M33" s="362"/>
      <c r="N33" s="363"/>
      <c r="O33" s="180"/>
      <c r="P33" s="181"/>
      <c r="Q33" s="181"/>
      <c r="R33" s="181"/>
      <c r="S33" s="6"/>
    </row>
    <row r="34" spans="1:19" ht="13" customHeight="1" x14ac:dyDescent="0.15">
      <c r="A34" s="318"/>
      <c r="B34" s="319"/>
      <c r="C34" s="320"/>
      <c r="D34" s="318"/>
      <c r="E34" s="319"/>
      <c r="F34" s="319"/>
      <c r="G34" s="320"/>
      <c r="H34" s="318"/>
      <c r="I34" s="320"/>
      <c r="J34" s="318"/>
      <c r="K34" s="320"/>
      <c r="L34" s="318"/>
      <c r="M34" s="319"/>
      <c r="N34" s="320"/>
      <c r="O34" s="180"/>
      <c r="P34" s="181"/>
      <c r="Q34" s="181"/>
      <c r="R34" s="181"/>
      <c r="S34" s="6"/>
    </row>
    <row r="35" spans="1:19" ht="14.5" customHeight="1" x14ac:dyDescent="0.15">
      <c r="A35" s="350" t="s">
        <v>34</v>
      </c>
      <c r="B35" s="255"/>
      <c r="C35" s="256"/>
      <c r="D35" s="351"/>
      <c r="E35" s="352"/>
      <c r="F35" s="352"/>
      <c r="G35" s="353"/>
      <c r="H35" s="351"/>
      <c r="I35" s="353"/>
      <c r="J35" s="351"/>
      <c r="K35" s="353"/>
      <c r="L35" s="333">
        <v>337791000</v>
      </c>
      <c r="M35" s="354"/>
      <c r="N35" s="334"/>
      <c r="O35" s="180"/>
      <c r="P35" s="181"/>
      <c r="Q35" s="181"/>
      <c r="R35" s="181"/>
      <c r="S35" s="6"/>
    </row>
    <row r="36" spans="1:19" ht="80.5" customHeight="1" x14ac:dyDescent="0.15">
      <c r="A36" s="268" t="s">
        <v>10</v>
      </c>
      <c r="B36" s="269"/>
      <c r="C36" s="269"/>
      <c r="D36" s="269"/>
      <c r="E36" s="269"/>
      <c r="F36" s="269"/>
      <c r="G36" s="269"/>
      <c r="H36" s="269"/>
      <c r="I36" s="269"/>
      <c r="J36" s="269"/>
      <c r="K36" s="269"/>
      <c r="L36" s="269"/>
      <c r="M36" s="269"/>
      <c r="N36" s="339"/>
      <c r="O36" s="168"/>
      <c r="P36" s="168"/>
      <c r="Q36" s="168"/>
      <c r="R36" s="168"/>
      <c r="S36" s="168"/>
    </row>
    <row r="37" spans="1:19" ht="14.25" customHeight="1" x14ac:dyDescent="0.15">
      <c r="A37" s="340" t="s">
        <v>35</v>
      </c>
      <c r="B37" s="341"/>
      <c r="C37" s="341"/>
      <c r="D37" s="341"/>
      <c r="E37" s="341"/>
      <c r="F37" s="341"/>
      <c r="G37" s="341"/>
      <c r="H37" s="341"/>
      <c r="I37" s="341"/>
      <c r="J37" s="341"/>
      <c r="K37" s="341"/>
      <c r="L37" s="341"/>
      <c r="M37" s="341"/>
      <c r="N37" s="272"/>
      <c r="O37" s="181"/>
      <c r="P37" s="181"/>
      <c r="Q37" s="181"/>
      <c r="R37" s="181"/>
      <c r="S37" s="181"/>
    </row>
    <row r="38" spans="1:19" ht="24.75" customHeight="1" x14ac:dyDescent="0.15">
      <c r="A38" s="342"/>
      <c r="B38" s="342"/>
      <c r="C38" s="342"/>
      <c r="D38" s="342"/>
      <c r="E38" s="342"/>
      <c r="F38" s="342"/>
      <c r="G38" s="342"/>
      <c r="H38" s="342"/>
      <c r="I38" s="342"/>
      <c r="J38" s="342"/>
      <c r="K38" s="342"/>
      <c r="L38" s="342"/>
      <c r="M38" s="342"/>
      <c r="N38" s="168"/>
      <c r="O38" s="168"/>
      <c r="P38" s="168"/>
      <c r="Q38" s="168"/>
      <c r="R38" s="168"/>
      <c r="S38" s="168"/>
    </row>
    <row r="39" spans="1:19" ht="52.5" customHeight="1" x14ac:dyDescent="0.15">
      <c r="A39" s="131" t="s">
        <v>36</v>
      </c>
      <c r="B39" s="132"/>
      <c r="C39" s="132"/>
      <c r="D39" s="132"/>
      <c r="E39" s="133"/>
      <c r="F39" s="348" t="s">
        <v>37</v>
      </c>
      <c r="G39" s="132"/>
      <c r="H39" s="132"/>
      <c r="I39" s="132"/>
      <c r="J39" s="132"/>
      <c r="K39" s="132"/>
      <c r="L39" s="132"/>
      <c r="M39" s="132"/>
      <c r="N39" s="349"/>
      <c r="O39" s="210"/>
      <c r="P39" s="210"/>
      <c r="Q39" s="210"/>
      <c r="R39" s="210"/>
      <c r="S39" s="210"/>
    </row>
    <row r="40" spans="1:19" ht="12" customHeight="1" x14ac:dyDescent="0.15">
      <c r="A40" s="149"/>
      <c r="B40" s="150"/>
      <c r="C40" s="150"/>
      <c r="D40" s="150"/>
      <c r="E40" s="151"/>
      <c r="F40" s="149"/>
      <c r="G40" s="150"/>
      <c r="H40" s="151"/>
      <c r="I40" s="149"/>
      <c r="J40" s="151"/>
      <c r="K40" s="149"/>
      <c r="L40" s="150"/>
      <c r="M40" s="151"/>
      <c r="N40" s="180"/>
      <c r="O40" s="181"/>
      <c r="P40" s="181"/>
      <c r="Q40" s="181"/>
      <c r="R40" s="181"/>
      <c r="S40" s="181"/>
    </row>
    <row r="41" spans="1:19" ht="14.25" customHeight="1" x14ac:dyDescent="0.15">
      <c r="A41" s="321" t="s">
        <v>38</v>
      </c>
      <c r="B41" s="322"/>
      <c r="C41" s="322"/>
      <c r="D41" s="322"/>
      <c r="E41" s="323"/>
      <c r="F41" s="324">
        <v>9712000</v>
      </c>
      <c r="G41" s="325"/>
      <c r="H41" s="326"/>
      <c r="I41" s="324">
        <v>9682000</v>
      </c>
      <c r="J41" s="326"/>
      <c r="K41" s="324">
        <v>11480000</v>
      </c>
      <c r="L41" s="325"/>
      <c r="M41" s="326"/>
      <c r="N41" s="180"/>
      <c r="O41" s="181"/>
      <c r="P41" s="181"/>
      <c r="Q41" s="181"/>
      <c r="R41" s="181"/>
      <c r="S41" s="181"/>
    </row>
    <row r="42" spans="1:19" ht="13" customHeight="1" x14ac:dyDescent="0.15">
      <c r="A42" s="318"/>
      <c r="B42" s="319"/>
      <c r="C42" s="319"/>
      <c r="D42" s="319"/>
      <c r="E42" s="320"/>
      <c r="F42" s="318"/>
      <c r="G42" s="319"/>
      <c r="H42" s="319"/>
      <c r="I42" s="319"/>
      <c r="J42" s="319"/>
      <c r="K42" s="319"/>
      <c r="L42" s="319"/>
      <c r="M42" s="319"/>
      <c r="N42" s="181"/>
      <c r="O42" s="181"/>
      <c r="P42" s="181"/>
      <c r="Q42" s="181"/>
      <c r="R42" s="181"/>
      <c r="S42" s="181"/>
    </row>
    <row r="43" spans="1:19" ht="14.25" customHeight="1" x14ac:dyDescent="0.15">
      <c r="A43" s="321" t="s">
        <v>39</v>
      </c>
      <c r="B43" s="322"/>
      <c r="C43" s="322"/>
      <c r="D43" s="322"/>
      <c r="E43" s="323"/>
      <c r="F43" s="324">
        <v>829000</v>
      </c>
      <c r="G43" s="325"/>
      <c r="H43" s="326"/>
      <c r="I43" s="324">
        <v>1473000</v>
      </c>
      <c r="J43" s="326"/>
      <c r="K43" s="324">
        <v>2933000</v>
      </c>
      <c r="L43" s="325"/>
      <c r="M43" s="326"/>
      <c r="N43" s="180"/>
      <c r="O43" s="181"/>
      <c r="P43" s="181"/>
      <c r="Q43" s="181"/>
      <c r="R43" s="181"/>
      <c r="S43" s="181"/>
    </row>
    <row r="44" spans="1:19" ht="13" customHeight="1" x14ac:dyDescent="0.15">
      <c r="A44" s="318"/>
      <c r="B44" s="319"/>
      <c r="C44" s="319"/>
      <c r="D44" s="319"/>
      <c r="E44" s="320"/>
      <c r="F44" s="318"/>
      <c r="G44" s="319"/>
      <c r="H44" s="320"/>
      <c r="I44" s="318"/>
      <c r="J44" s="320"/>
      <c r="K44" s="318"/>
      <c r="L44" s="319"/>
      <c r="M44" s="320"/>
      <c r="N44" s="180"/>
      <c r="O44" s="181"/>
      <c r="P44" s="181"/>
      <c r="Q44" s="181"/>
      <c r="R44" s="181"/>
      <c r="S44" s="181"/>
    </row>
    <row r="45" spans="1:19" ht="14.25" customHeight="1" x14ac:dyDescent="0.15">
      <c r="A45" s="321" t="s">
        <v>40</v>
      </c>
      <c r="B45" s="322"/>
      <c r="C45" s="322"/>
      <c r="D45" s="322"/>
      <c r="E45" s="323"/>
      <c r="F45" s="324">
        <v>12703000</v>
      </c>
      <c r="G45" s="325"/>
      <c r="H45" s="326"/>
      <c r="I45" s="324">
        <v>29374000</v>
      </c>
      <c r="J45" s="326"/>
      <c r="K45" s="324">
        <v>3666000</v>
      </c>
      <c r="L45" s="325"/>
      <c r="M45" s="326"/>
      <c r="N45" s="180"/>
      <c r="O45" s="181"/>
      <c r="P45" s="181"/>
      <c r="Q45" s="181"/>
      <c r="R45" s="181"/>
      <c r="S45" s="181"/>
    </row>
    <row r="46" spans="1:19" ht="13" customHeight="1" x14ac:dyDescent="0.15">
      <c r="A46" s="318"/>
      <c r="B46" s="319"/>
      <c r="C46" s="319"/>
      <c r="D46" s="319"/>
      <c r="E46" s="320"/>
      <c r="F46" s="318"/>
      <c r="G46" s="319"/>
      <c r="H46" s="320"/>
      <c r="I46" s="318"/>
      <c r="J46" s="320"/>
      <c r="K46" s="318"/>
      <c r="L46" s="319"/>
      <c r="M46" s="320"/>
      <c r="N46" s="180"/>
      <c r="O46" s="181"/>
      <c r="P46" s="181"/>
      <c r="Q46" s="181"/>
      <c r="R46" s="181"/>
      <c r="S46" s="181"/>
    </row>
    <row r="47" spans="1:19" ht="14.25" customHeight="1" x14ac:dyDescent="0.15">
      <c r="A47" s="321" t="s">
        <v>41</v>
      </c>
      <c r="B47" s="322"/>
      <c r="C47" s="322"/>
      <c r="D47" s="322"/>
      <c r="E47" s="323"/>
      <c r="F47" s="324">
        <v>692000</v>
      </c>
      <c r="G47" s="325"/>
      <c r="H47" s="326"/>
      <c r="I47" s="324">
        <v>571000</v>
      </c>
      <c r="J47" s="326"/>
      <c r="K47" s="324">
        <v>11195000</v>
      </c>
      <c r="L47" s="325"/>
      <c r="M47" s="326"/>
      <c r="N47" s="180"/>
      <c r="O47" s="181"/>
      <c r="P47" s="181"/>
      <c r="Q47" s="181"/>
      <c r="R47" s="181"/>
      <c r="S47" s="181"/>
    </row>
    <row r="48" spans="1:19" ht="13" customHeight="1" x14ac:dyDescent="0.15">
      <c r="A48" s="318"/>
      <c r="B48" s="319"/>
      <c r="C48" s="319"/>
      <c r="D48" s="319"/>
      <c r="E48" s="320"/>
      <c r="F48" s="318"/>
      <c r="G48" s="319"/>
      <c r="H48" s="320"/>
      <c r="I48" s="318"/>
      <c r="J48" s="320"/>
      <c r="K48" s="318"/>
      <c r="L48" s="319"/>
      <c r="M48" s="320"/>
      <c r="N48" s="180"/>
      <c r="O48" s="181"/>
      <c r="P48" s="181"/>
      <c r="Q48" s="181"/>
      <c r="R48" s="181"/>
      <c r="S48" s="181"/>
    </row>
    <row r="49" spans="1:19" ht="14.25" customHeight="1" x14ac:dyDescent="0.15">
      <c r="A49" s="321" t="s">
        <v>42</v>
      </c>
      <c r="B49" s="322"/>
      <c r="C49" s="322"/>
      <c r="D49" s="322"/>
      <c r="E49" s="323"/>
      <c r="F49" s="324">
        <v>9667000</v>
      </c>
      <c r="G49" s="325"/>
      <c r="H49" s="326"/>
      <c r="I49" s="324">
        <v>11219000</v>
      </c>
      <c r="J49" s="326"/>
      <c r="K49" s="324">
        <v>5037000</v>
      </c>
      <c r="L49" s="325"/>
      <c r="M49" s="326"/>
      <c r="N49" s="180"/>
      <c r="O49" s="181"/>
      <c r="P49" s="181"/>
      <c r="Q49" s="181"/>
      <c r="R49" s="181"/>
      <c r="S49" s="181"/>
    </row>
    <row r="50" spans="1:19" ht="13" customHeight="1" x14ac:dyDescent="0.15">
      <c r="A50" s="318"/>
      <c r="B50" s="319"/>
      <c r="C50" s="319"/>
      <c r="D50" s="319"/>
      <c r="E50" s="320"/>
      <c r="F50" s="318"/>
      <c r="G50" s="319"/>
      <c r="H50" s="320"/>
      <c r="I50" s="318"/>
      <c r="J50" s="320"/>
      <c r="K50" s="318"/>
      <c r="L50" s="319"/>
      <c r="M50" s="320"/>
      <c r="N50" s="180"/>
      <c r="O50" s="181"/>
      <c r="P50" s="181"/>
      <c r="Q50" s="181"/>
      <c r="R50" s="181"/>
      <c r="S50" s="181"/>
    </row>
    <row r="51" spans="1:19" ht="14.25" customHeight="1" x14ac:dyDescent="0.15">
      <c r="A51" s="321" t="s">
        <v>43</v>
      </c>
      <c r="B51" s="322"/>
      <c r="C51" s="322"/>
      <c r="D51" s="322"/>
      <c r="E51" s="323"/>
      <c r="F51" s="324">
        <v>681000</v>
      </c>
      <c r="G51" s="325"/>
      <c r="H51" s="326"/>
      <c r="I51" s="324">
        <v>1773000</v>
      </c>
      <c r="J51" s="326"/>
      <c r="K51" s="324">
        <v>3079000</v>
      </c>
      <c r="L51" s="325"/>
      <c r="M51" s="326"/>
      <c r="N51" s="180"/>
      <c r="O51" s="181"/>
      <c r="P51" s="181"/>
      <c r="Q51" s="181"/>
      <c r="R51" s="181"/>
      <c r="S51" s="181"/>
    </row>
    <row r="52" spans="1:19" ht="13" customHeight="1" x14ac:dyDescent="0.15">
      <c r="A52" s="318"/>
      <c r="B52" s="319"/>
      <c r="C52" s="319"/>
      <c r="D52" s="319"/>
      <c r="E52" s="320"/>
      <c r="F52" s="318"/>
      <c r="G52" s="319"/>
      <c r="H52" s="320"/>
      <c r="I52" s="318"/>
      <c r="J52" s="320"/>
      <c r="K52" s="318"/>
      <c r="L52" s="319"/>
      <c r="M52" s="320"/>
      <c r="N52" s="180"/>
      <c r="O52" s="181"/>
      <c r="P52" s="181"/>
      <c r="Q52" s="181"/>
      <c r="R52" s="181"/>
      <c r="S52" s="181"/>
    </row>
    <row r="53" spans="1:19" ht="14.25" customHeight="1" x14ac:dyDescent="0.15">
      <c r="A53" s="321" t="s">
        <v>44</v>
      </c>
      <c r="B53" s="322"/>
      <c r="C53" s="322"/>
      <c r="D53" s="322"/>
      <c r="E53" s="323"/>
      <c r="F53" s="324">
        <v>1710000</v>
      </c>
      <c r="G53" s="325"/>
      <c r="H53" s="326"/>
      <c r="I53" s="336" t="s">
        <v>45</v>
      </c>
      <c r="J53" s="338"/>
      <c r="K53" s="324">
        <v>824000</v>
      </c>
      <c r="L53" s="325"/>
      <c r="M53" s="326"/>
      <c r="N53" s="180"/>
      <c r="O53" s="181"/>
      <c r="P53" s="181"/>
      <c r="Q53" s="181"/>
      <c r="R53" s="181"/>
      <c r="S53" s="181"/>
    </row>
    <row r="54" spans="1:19" ht="13" customHeight="1" x14ac:dyDescent="0.15">
      <c r="A54" s="318"/>
      <c r="B54" s="319"/>
      <c r="C54" s="319"/>
      <c r="D54" s="319"/>
      <c r="E54" s="320"/>
      <c r="F54" s="318"/>
      <c r="G54" s="319"/>
      <c r="H54" s="320"/>
      <c r="I54" s="318"/>
      <c r="J54" s="320"/>
      <c r="K54" s="318"/>
      <c r="L54" s="319"/>
      <c r="M54" s="320"/>
      <c r="N54" s="180"/>
      <c r="O54" s="181"/>
      <c r="P54" s="181"/>
      <c r="Q54" s="181"/>
      <c r="R54" s="181"/>
      <c r="S54" s="181"/>
    </row>
    <row r="55" spans="1:19" ht="14.25" customHeight="1" x14ac:dyDescent="0.15">
      <c r="A55" s="321" t="s">
        <v>46</v>
      </c>
      <c r="B55" s="322"/>
      <c r="C55" s="322"/>
      <c r="D55" s="322"/>
      <c r="E55" s="323"/>
      <c r="F55" s="324">
        <v>954000</v>
      </c>
      <c r="G55" s="325"/>
      <c r="H55" s="326"/>
      <c r="I55" s="324">
        <v>1550000</v>
      </c>
      <c r="J55" s="326"/>
      <c r="K55" s="324">
        <v>1356000</v>
      </c>
      <c r="L55" s="325"/>
      <c r="M55" s="326"/>
      <c r="N55" s="180"/>
      <c r="O55" s="181"/>
      <c r="P55" s="181"/>
      <c r="Q55" s="181"/>
      <c r="R55" s="181"/>
      <c r="S55" s="181"/>
    </row>
    <row r="56" spans="1:19" ht="12" customHeight="1" x14ac:dyDescent="0.15">
      <c r="A56" s="318"/>
      <c r="B56" s="319"/>
      <c r="C56" s="319"/>
      <c r="D56" s="319"/>
      <c r="E56" s="320"/>
      <c r="F56" s="318"/>
      <c r="G56" s="319"/>
      <c r="H56" s="320"/>
      <c r="I56" s="318"/>
      <c r="J56" s="320"/>
      <c r="K56" s="318"/>
      <c r="L56" s="319"/>
      <c r="M56" s="320"/>
      <c r="N56" s="180"/>
      <c r="O56" s="181"/>
      <c r="P56" s="181"/>
      <c r="Q56" s="181"/>
      <c r="R56" s="181"/>
      <c r="S56" s="181"/>
    </row>
    <row r="57" spans="1:19" ht="14.25" customHeight="1" x14ac:dyDescent="0.15">
      <c r="A57" s="321" t="s">
        <v>47</v>
      </c>
      <c r="B57" s="322"/>
      <c r="C57" s="322"/>
      <c r="D57" s="322"/>
      <c r="E57" s="323"/>
      <c r="F57" s="336" t="s">
        <v>45</v>
      </c>
      <c r="G57" s="337"/>
      <c r="H57" s="338"/>
      <c r="I57" s="336" t="s">
        <v>45</v>
      </c>
      <c r="J57" s="338"/>
      <c r="K57" s="336" t="s">
        <v>45</v>
      </c>
      <c r="L57" s="337"/>
      <c r="M57" s="338"/>
      <c r="N57" s="180"/>
      <c r="O57" s="181"/>
      <c r="P57" s="181"/>
      <c r="Q57" s="181"/>
      <c r="R57" s="181"/>
      <c r="S57" s="181"/>
    </row>
    <row r="58" spans="1:19" ht="13" customHeight="1" x14ac:dyDescent="0.15">
      <c r="A58" s="318"/>
      <c r="B58" s="319"/>
      <c r="C58" s="319"/>
      <c r="D58" s="319"/>
      <c r="E58" s="320"/>
      <c r="F58" s="318"/>
      <c r="G58" s="319"/>
      <c r="H58" s="320"/>
      <c r="I58" s="318"/>
      <c r="J58" s="320"/>
      <c r="K58" s="318"/>
      <c r="L58" s="319"/>
      <c r="M58" s="320"/>
      <c r="N58" s="180"/>
      <c r="O58" s="181"/>
      <c r="P58" s="181"/>
      <c r="Q58" s="181"/>
      <c r="R58" s="181"/>
      <c r="S58" s="181"/>
    </row>
    <row r="59" spans="1:19" ht="14.25" customHeight="1" x14ac:dyDescent="0.15">
      <c r="A59" s="321" t="s">
        <v>48</v>
      </c>
      <c r="B59" s="322"/>
      <c r="C59" s="322"/>
      <c r="D59" s="322"/>
      <c r="E59" s="323"/>
      <c r="F59" s="324">
        <v>2379000</v>
      </c>
      <c r="G59" s="325"/>
      <c r="H59" s="326"/>
      <c r="I59" s="324">
        <v>2534000</v>
      </c>
      <c r="J59" s="326"/>
      <c r="K59" s="324">
        <v>4113000</v>
      </c>
      <c r="L59" s="325"/>
      <c r="M59" s="326"/>
      <c r="N59" s="180"/>
      <c r="O59" s="181"/>
      <c r="P59" s="181"/>
      <c r="Q59" s="181"/>
      <c r="R59" s="181"/>
      <c r="S59" s="181"/>
    </row>
    <row r="60" spans="1:19" ht="13" customHeight="1" x14ac:dyDescent="0.15">
      <c r="A60" s="318"/>
      <c r="B60" s="319"/>
      <c r="C60" s="319"/>
      <c r="D60" s="319"/>
      <c r="E60" s="320"/>
      <c r="F60" s="318"/>
      <c r="G60" s="319"/>
      <c r="H60" s="320"/>
      <c r="I60" s="318"/>
      <c r="J60" s="320"/>
      <c r="K60" s="318"/>
      <c r="L60" s="319"/>
      <c r="M60" s="320"/>
      <c r="N60" s="180"/>
      <c r="O60" s="181"/>
      <c r="P60" s="181"/>
      <c r="Q60" s="181"/>
      <c r="R60" s="181"/>
      <c r="S60" s="181"/>
    </row>
    <row r="61" spans="1:19" ht="14.25" customHeight="1" x14ac:dyDescent="0.15">
      <c r="A61" s="321" t="s">
        <v>49</v>
      </c>
      <c r="B61" s="322"/>
      <c r="C61" s="322"/>
      <c r="D61" s="322"/>
      <c r="E61" s="323"/>
      <c r="F61" s="324">
        <v>913000</v>
      </c>
      <c r="G61" s="325"/>
      <c r="H61" s="326"/>
      <c r="I61" s="324">
        <v>1422000</v>
      </c>
      <c r="J61" s="326"/>
      <c r="K61" s="324">
        <v>2748000</v>
      </c>
      <c r="L61" s="325"/>
      <c r="M61" s="326"/>
      <c r="N61" s="180"/>
      <c r="O61" s="181"/>
      <c r="P61" s="181"/>
      <c r="Q61" s="181"/>
      <c r="R61" s="181"/>
      <c r="S61" s="181"/>
    </row>
    <row r="62" spans="1:19" ht="13" customHeight="1" x14ac:dyDescent="0.15">
      <c r="A62" s="318"/>
      <c r="B62" s="319"/>
      <c r="C62" s="319"/>
      <c r="D62" s="319"/>
      <c r="E62" s="320"/>
      <c r="F62" s="318"/>
      <c r="G62" s="319"/>
      <c r="H62" s="320"/>
      <c r="I62" s="318"/>
      <c r="J62" s="320"/>
      <c r="K62" s="318"/>
      <c r="L62" s="319"/>
      <c r="M62" s="320"/>
      <c r="N62" s="180"/>
      <c r="O62" s="181"/>
      <c r="P62" s="181"/>
      <c r="Q62" s="181"/>
      <c r="R62" s="181"/>
      <c r="S62" s="181"/>
    </row>
    <row r="63" spans="1:19" ht="14.25" customHeight="1" x14ac:dyDescent="0.15">
      <c r="A63" s="321" t="s">
        <v>50</v>
      </c>
      <c r="B63" s="322"/>
      <c r="C63" s="322"/>
      <c r="D63" s="322"/>
      <c r="E63" s="323"/>
      <c r="F63" s="324">
        <v>7264000</v>
      </c>
      <c r="G63" s="325"/>
      <c r="H63" s="326"/>
      <c r="I63" s="324">
        <v>3581000</v>
      </c>
      <c r="J63" s="326"/>
      <c r="K63" s="324">
        <v>3288000</v>
      </c>
      <c r="L63" s="325"/>
      <c r="M63" s="326"/>
      <c r="N63" s="180"/>
      <c r="O63" s="181"/>
      <c r="P63" s="181"/>
      <c r="Q63" s="181"/>
      <c r="R63" s="181"/>
      <c r="S63" s="181"/>
    </row>
    <row r="64" spans="1:19" ht="13" customHeight="1" x14ac:dyDescent="0.15">
      <c r="A64" s="318"/>
      <c r="B64" s="319"/>
      <c r="C64" s="319"/>
      <c r="D64" s="319"/>
      <c r="E64" s="320"/>
      <c r="F64" s="318"/>
      <c r="G64" s="319"/>
      <c r="H64" s="320"/>
      <c r="I64" s="318"/>
      <c r="J64" s="320"/>
      <c r="K64" s="318"/>
      <c r="L64" s="319"/>
      <c r="M64" s="320"/>
      <c r="N64" s="180"/>
      <c r="O64" s="181"/>
      <c r="P64" s="181"/>
      <c r="Q64" s="181"/>
      <c r="R64" s="181"/>
      <c r="S64" s="181"/>
    </row>
    <row r="65" spans="1:19" ht="14.25" customHeight="1" x14ac:dyDescent="0.15">
      <c r="A65" s="321" t="s">
        <v>51</v>
      </c>
      <c r="B65" s="322"/>
      <c r="C65" s="322"/>
      <c r="D65" s="322"/>
      <c r="E65" s="323"/>
      <c r="F65" s="324">
        <v>1555000</v>
      </c>
      <c r="G65" s="325"/>
      <c r="H65" s="326"/>
      <c r="I65" s="324">
        <v>1037000</v>
      </c>
      <c r="J65" s="326"/>
      <c r="K65" s="324">
        <v>1430000</v>
      </c>
      <c r="L65" s="325"/>
      <c r="M65" s="326"/>
      <c r="N65" s="180"/>
      <c r="O65" s="181"/>
      <c r="P65" s="181"/>
      <c r="Q65" s="181"/>
      <c r="R65" s="181"/>
      <c r="S65" s="181"/>
    </row>
    <row r="66" spans="1:19" ht="12" customHeight="1" x14ac:dyDescent="0.15">
      <c r="A66" s="318"/>
      <c r="B66" s="319"/>
      <c r="C66" s="319"/>
      <c r="D66" s="319"/>
      <c r="E66" s="320"/>
      <c r="F66" s="318"/>
      <c r="G66" s="319"/>
      <c r="H66" s="320"/>
      <c r="I66" s="318"/>
      <c r="J66" s="320"/>
      <c r="K66" s="318"/>
      <c r="L66" s="319"/>
      <c r="M66" s="320"/>
      <c r="N66" s="180"/>
      <c r="O66" s="181"/>
      <c r="P66" s="181"/>
      <c r="Q66" s="181"/>
      <c r="R66" s="181"/>
      <c r="S66" s="181"/>
    </row>
    <row r="67" spans="1:19" ht="14.25" customHeight="1" x14ac:dyDescent="0.15">
      <c r="A67" s="321" t="s">
        <v>52</v>
      </c>
      <c r="B67" s="322"/>
      <c r="C67" s="322"/>
      <c r="D67" s="322"/>
      <c r="E67" s="323"/>
      <c r="F67" s="324">
        <v>729000</v>
      </c>
      <c r="G67" s="325"/>
      <c r="H67" s="326"/>
      <c r="I67" s="324">
        <v>479000</v>
      </c>
      <c r="J67" s="326"/>
      <c r="K67" s="324">
        <v>667000</v>
      </c>
      <c r="L67" s="325"/>
      <c r="M67" s="326"/>
      <c r="N67" s="180"/>
      <c r="O67" s="181"/>
      <c r="P67" s="181"/>
      <c r="Q67" s="181"/>
      <c r="R67" s="181"/>
      <c r="S67" s="181"/>
    </row>
    <row r="68" spans="1:19" ht="14.25" customHeight="1" x14ac:dyDescent="0.15">
      <c r="A68" s="329" t="s">
        <v>34</v>
      </c>
      <c r="B68" s="255"/>
      <c r="C68" s="255"/>
      <c r="D68" s="255"/>
      <c r="E68" s="256"/>
      <c r="F68" s="330">
        <v>49788000</v>
      </c>
      <c r="G68" s="331"/>
      <c r="H68" s="332"/>
      <c r="I68" s="330">
        <v>64695000</v>
      </c>
      <c r="J68" s="332"/>
      <c r="K68" s="330">
        <v>51816000</v>
      </c>
      <c r="L68" s="331"/>
      <c r="M68" s="332"/>
      <c r="N68" s="180"/>
      <c r="O68" s="181"/>
      <c r="P68" s="181"/>
      <c r="Q68" s="181"/>
      <c r="R68" s="181"/>
      <c r="S68" s="181"/>
    </row>
    <row r="69" spans="1:19" ht="80.5" customHeight="1" x14ac:dyDescent="0.15">
      <c r="A69" s="268" t="s">
        <v>10</v>
      </c>
      <c r="B69" s="269"/>
      <c r="C69" s="269"/>
      <c r="D69" s="269"/>
      <c r="E69" s="269"/>
      <c r="F69" s="269"/>
      <c r="G69" s="269"/>
      <c r="H69" s="269"/>
      <c r="I69" s="269"/>
      <c r="J69" s="269"/>
      <c r="K69" s="339"/>
      <c r="L69" s="339"/>
      <c r="M69" s="339"/>
      <c r="N69" s="168"/>
      <c r="O69" s="168"/>
      <c r="P69" s="168"/>
      <c r="Q69" s="168"/>
      <c r="R69" s="6"/>
      <c r="S69" s="6"/>
    </row>
    <row r="70" spans="1:19" ht="14.25" customHeight="1" x14ac:dyDescent="0.15">
      <c r="A70" s="340" t="s">
        <v>53</v>
      </c>
      <c r="B70" s="341"/>
      <c r="C70" s="341"/>
      <c r="D70" s="341"/>
      <c r="E70" s="341"/>
      <c r="F70" s="341"/>
      <c r="G70" s="341"/>
      <c r="H70" s="341"/>
      <c r="I70" s="341"/>
      <c r="J70" s="341"/>
      <c r="K70" s="272"/>
      <c r="L70" s="181"/>
      <c r="M70" s="181"/>
      <c r="N70" s="181"/>
      <c r="O70" s="181"/>
      <c r="P70" s="181"/>
      <c r="Q70" s="181"/>
      <c r="R70" s="6"/>
      <c r="S70" s="6"/>
    </row>
    <row r="71" spans="1:19" ht="24.75" customHeight="1" x14ac:dyDescent="0.15">
      <c r="A71" s="342"/>
      <c r="B71" s="342"/>
      <c r="C71" s="342"/>
      <c r="D71" s="342"/>
      <c r="E71" s="342"/>
      <c r="F71" s="342"/>
      <c r="G71" s="342"/>
      <c r="H71" s="342"/>
      <c r="I71" s="342"/>
      <c r="J71" s="342"/>
      <c r="K71" s="168"/>
      <c r="L71" s="168"/>
      <c r="M71" s="168"/>
      <c r="N71" s="168"/>
      <c r="O71" s="168"/>
      <c r="P71" s="168"/>
      <c r="Q71" s="168"/>
      <c r="R71" s="6"/>
      <c r="S71" s="6"/>
    </row>
    <row r="72" spans="1:19" ht="52.5" customHeight="1" x14ac:dyDescent="0.15">
      <c r="A72" s="343" t="s">
        <v>36</v>
      </c>
      <c r="B72" s="344"/>
      <c r="C72" s="344"/>
      <c r="D72" s="344"/>
      <c r="E72" s="345"/>
      <c r="F72" s="343" t="s">
        <v>54</v>
      </c>
      <c r="G72" s="344"/>
      <c r="H72" s="345"/>
      <c r="I72" s="346" t="s">
        <v>55</v>
      </c>
      <c r="J72" s="347"/>
      <c r="K72" s="209"/>
      <c r="L72" s="210"/>
      <c r="M72" s="210"/>
      <c r="N72" s="210"/>
      <c r="O72" s="210"/>
      <c r="P72" s="210"/>
      <c r="Q72" s="210"/>
      <c r="R72" s="6"/>
      <c r="S72" s="6"/>
    </row>
    <row r="73" spans="1:19" ht="12" customHeight="1" x14ac:dyDescent="0.15">
      <c r="A73" s="318"/>
      <c r="B73" s="319"/>
      <c r="C73" s="319"/>
      <c r="D73" s="319"/>
      <c r="E73" s="320"/>
      <c r="F73" s="318"/>
      <c r="G73" s="319"/>
      <c r="H73" s="320"/>
      <c r="I73" s="318"/>
      <c r="J73" s="320"/>
      <c r="K73" s="180"/>
      <c r="L73" s="181"/>
      <c r="M73" s="181"/>
      <c r="N73" s="181"/>
      <c r="O73" s="181"/>
      <c r="P73" s="181"/>
      <c r="Q73" s="181"/>
      <c r="R73" s="6"/>
      <c r="S73" s="6"/>
    </row>
    <row r="74" spans="1:19" ht="14.25" customHeight="1" x14ac:dyDescent="0.15">
      <c r="A74" s="321" t="s">
        <v>38</v>
      </c>
      <c r="B74" s="322"/>
      <c r="C74" s="322"/>
      <c r="D74" s="322"/>
      <c r="E74" s="323"/>
      <c r="F74" s="324">
        <v>19551000</v>
      </c>
      <c r="G74" s="325"/>
      <c r="H74" s="326"/>
      <c r="I74" s="327">
        <v>50425000</v>
      </c>
      <c r="J74" s="328"/>
      <c r="K74" s="180"/>
      <c r="L74" s="181"/>
      <c r="M74" s="181"/>
      <c r="N74" s="181"/>
      <c r="O74" s="181"/>
      <c r="P74" s="181"/>
      <c r="Q74" s="181"/>
      <c r="R74" s="6"/>
      <c r="S74" s="6"/>
    </row>
    <row r="75" spans="1:19" ht="13" customHeight="1" x14ac:dyDescent="0.15">
      <c r="A75" s="318"/>
      <c r="B75" s="319"/>
      <c r="C75" s="319"/>
      <c r="D75" s="319"/>
      <c r="E75" s="320"/>
      <c r="F75" s="318"/>
      <c r="G75" s="319"/>
      <c r="H75" s="320"/>
      <c r="I75" s="318"/>
      <c r="J75" s="320"/>
      <c r="K75" s="180"/>
      <c r="L75" s="181"/>
      <c r="M75" s="181"/>
      <c r="N75" s="181"/>
      <c r="O75" s="181"/>
      <c r="P75" s="181"/>
      <c r="Q75" s="181"/>
      <c r="R75" s="6"/>
      <c r="S75" s="6"/>
    </row>
    <row r="76" spans="1:19" ht="14.25" customHeight="1" x14ac:dyDescent="0.15">
      <c r="A76" s="321" t="s">
        <v>39</v>
      </c>
      <c r="B76" s="322"/>
      <c r="C76" s="322"/>
      <c r="D76" s="322"/>
      <c r="E76" s="323"/>
      <c r="F76" s="324">
        <v>3024000</v>
      </c>
      <c r="G76" s="325"/>
      <c r="H76" s="326"/>
      <c r="I76" s="327">
        <v>8259000</v>
      </c>
      <c r="J76" s="328"/>
      <c r="K76" s="180"/>
      <c r="L76" s="181"/>
      <c r="M76" s="181"/>
      <c r="N76" s="181"/>
      <c r="O76" s="181"/>
      <c r="P76" s="181"/>
      <c r="Q76" s="181"/>
      <c r="R76" s="6"/>
      <c r="S76" s="6"/>
    </row>
    <row r="77" spans="1:19" ht="13" customHeight="1" x14ac:dyDescent="0.15">
      <c r="A77" s="318"/>
      <c r="B77" s="319"/>
      <c r="C77" s="319"/>
      <c r="D77" s="319"/>
      <c r="E77" s="320"/>
      <c r="F77" s="318"/>
      <c r="G77" s="319"/>
      <c r="H77" s="320"/>
      <c r="I77" s="318"/>
      <c r="J77" s="320"/>
      <c r="K77" s="180"/>
      <c r="L77" s="181"/>
      <c r="M77" s="181"/>
      <c r="N77" s="181"/>
      <c r="O77" s="181"/>
      <c r="P77" s="181"/>
      <c r="Q77" s="181"/>
      <c r="R77" s="6"/>
      <c r="S77" s="6"/>
    </row>
    <row r="78" spans="1:19" ht="14.25" customHeight="1" x14ac:dyDescent="0.15">
      <c r="A78" s="321" t="s">
        <v>40</v>
      </c>
      <c r="B78" s="322"/>
      <c r="C78" s="322"/>
      <c r="D78" s="322"/>
      <c r="E78" s="323"/>
      <c r="F78" s="336" t="s">
        <v>45</v>
      </c>
      <c r="G78" s="337"/>
      <c r="H78" s="338"/>
      <c r="I78" s="327">
        <v>45743000</v>
      </c>
      <c r="J78" s="328"/>
      <c r="K78" s="180"/>
      <c r="L78" s="181"/>
      <c r="M78" s="181"/>
      <c r="N78" s="181"/>
      <c r="O78" s="181"/>
      <c r="P78" s="181"/>
      <c r="Q78" s="181"/>
      <c r="R78" s="6"/>
      <c r="S78" s="6"/>
    </row>
    <row r="79" spans="1:19" ht="13" customHeight="1" x14ac:dyDescent="0.15">
      <c r="A79" s="318"/>
      <c r="B79" s="319"/>
      <c r="C79" s="319"/>
      <c r="D79" s="319"/>
      <c r="E79" s="320"/>
      <c r="F79" s="318"/>
      <c r="G79" s="319"/>
      <c r="H79" s="320"/>
      <c r="I79" s="318"/>
      <c r="J79" s="320"/>
      <c r="K79" s="180"/>
      <c r="L79" s="181"/>
      <c r="M79" s="181"/>
      <c r="N79" s="181"/>
      <c r="O79" s="181"/>
      <c r="P79" s="181"/>
      <c r="Q79" s="181"/>
      <c r="R79" s="6"/>
      <c r="S79" s="6"/>
    </row>
    <row r="80" spans="1:19" ht="14.25" customHeight="1" x14ac:dyDescent="0.15">
      <c r="A80" s="321" t="s">
        <v>41</v>
      </c>
      <c r="B80" s="322"/>
      <c r="C80" s="322"/>
      <c r="D80" s="322"/>
      <c r="E80" s="323"/>
      <c r="F80" s="324">
        <v>42018000</v>
      </c>
      <c r="G80" s="325"/>
      <c r="H80" s="326"/>
      <c r="I80" s="327">
        <v>54476000</v>
      </c>
      <c r="J80" s="328"/>
      <c r="K80" s="180"/>
      <c r="L80" s="181"/>
      <c r="M80" s="181"/>
      <c r="N80" s="181"/>
      <c r="O80" s="181"/>
      <c r="P80" s="181"/>
      <c r="Q80" s="181"/>
      <c r="R80" s="6"/>
      <c r="S80" s="6"/>
    </row>
    <row r="81" spans="1:19" ht="13" customHeight="1" x14ac:dyDescent="0.15">
      <c r="A81" s="318"/>
      <c r="B81" s="319"/>
      <c r="C81" s="319"/>
      <c r="D81" s="319"/>
      <c r="E81" s="320"/>
      <c r="F81" s="318"/>
      <c r="G81" s="319"/>
      <c r="H81" s="320"/>
      <c r="I81" s="318"/>
      <c r="J81" s="320"/>
      <c r="K81" s="180"/>
      <c r="L81" s="181"/>
      <c r="M81" s="181"/>
      <c r="N81" s="181"/>
      <c r="O81" s="181"/>
      <c r="P81" s="181"/>
      <c r="Q81" s="181"/>
      <c r="R81" s="6"/>
      <c r="S81" s="6"/>
    </row>
    <row r="82" spans="1:19" ht="14.25" customHeight="1" x14ac:dyDescent="0.15">
      <c r="A82" s="321" t="s">
        <v>42</v>
      </c>
      <c r="B82" s="322"/>
      <c r="C82" s="322"/>
      <c r="D82" s="322"/>
      <c r="E82" s="323"/>
      <c r="F82" s="324">
        <v>3251000</v>
      </c>
      <c r="G82" s="325"/>
      <c r="H82" s="326"/>
      <c r="I82" s="327">
        <v>29174000</v>
      </c>
      <c r="J82" s="328"/>
      <c r="K82" s="180"/>
      <c r="L82" s="181"/>
      <c r="M82" s="181"/>
      <c r="N82" s="181"/>
      <c r="O82" s="181"/>
      <c r="P82" s="181"/>
      <c r="Q82" s="181"/>
      <c r="R82" s="6"/>
      <c r="S82" s="6"/>
    </row>
    <row r="83" spans="1:19" ht="13" customHeight="1" x14ac:dyDescent="0.15">
      <c r="A83" s="318"/>
      <c r="B83" s="319"/>
      <c r="C83" s="319"/>
      <c r="D83" s="319"/>
      <c r="E83" s="320"/>
      <c r="F83" s="318"/>
      <c r="G83" s="319"/>
      <c r="H83" s="320"/>
      <c r="I83" s="318"/>
      <c r="J83" s="320"/>
      <c r="K83" s="180"/>
      <c r="L83" s="181"/>
      <c r="M83" s="181"/>
      <c r="N83" s="181"/>
      <c r="O83" s="181"/>
      <c r="P83" s="181"/>
      <c r="Q83" s="181"/>
      <c r="R83" s="6"/>
      <c r="S83" s="6"/>
    </row>
    <row r="84" spans="1:19" ht="14.25" customHeight="1" x14ac:dyDescent="0.15">
      <c r="A84" s="321" t="s">
        <v>43</v>
      </c>
      <c r="B84" s="322"/>
      <c r="C84" s="322"/>
      <c r="D84" s="322"/>
      <c r="E84" s="323"/>
      <c r="F84" s="324">
        <v>1313000</v>
      </c>
      <c r="G84" s="325"/>
      <c r="H84" s="326"/>
      <c r="I84" s="327">
        <v>6846000</v>
      </c>
      <c r="J84" s="328"/>
      <c r="K84" s="180"/>
      <c r="L84" s="181"/>
      <c r="M84" s="181"/>
      <c r="N84" s="181"/>
      <c r="O84" s="181"/>
      <c r="P84" s="181"/>
      <c r="Q84" s="181"/>
      <c r="R84" s="6"/>
      <c r="S84" s="6"/>
    </row>
    <row r="85" spans="1:19" ht="13" customHeight="1" x14ac:dyDescent="0.15">
      <c r="A85" s="318"/>
      <c r="B85" s="319"/>
      <c r="C85" s="319"/>
      <c r="D85" s="319"/>
      <c r="E85" s="320"/>
      <c r="F85" s="318"/>
      <c r="G85" s="319"/>
      <c r="H85" s="320"/>
      <c r="I85" s="318"/>
      <c r="J85" s="320"/>
      <c r="K85" s="180"/>
      <c r="L85" s="181"/>
      <c r="M85" s="181"/>
      <c r="N85" s="181"/>
      <c r="O85" s="181"/>
      <c r="P85" s="181"/>
      <c r="Q85" s="181"/>
      <c r="R85" s="6"/>
      <c r="S85" s="6"/>
    </row>
    <row r="86" spans="1:19" ht="14.25" customHeight="1" x14ac:dyDescent="0.15">
      <c r="A86" s="321" t="s">
        <v>44</v>
      </c>
      <c r="B86" s="322"/>
      <c r="C86" s="322"/>
      <c r="D86" s="322"/>
      <c r="E86" s="323"/>
      <c r="F86" s="336" t="s">
        <v>45</v>
      </c>
      <c r="G86" s="337"/>
      <c r="H86" s="338"/>
      <c r="I86" s="327">
        <v>2534000</v>
      </c>
      <c r="J86" s="328"/>
      <c r="K86" s="180"/>
      <c r="L86" s="181"/>
      <c r="M86" s="181"/>
      <c r="N86" s="181"/>
      <c r="O86" s="181"/>
      <c r="P86" s="181"/>
      <c r="Q86" s="181"/>
      <c r="R86" s="6"/>
      <c r="S86" s="6"/>
    </row>
    <row r="87" spans="1:19" ht="13" customHeight="1" x14ac:dyDescent="0.15">
      <c r="A87" s="318"/>
      <c r="B87" s="319"/>
      <c r="C87" s="319"/>
      <c r="D87" s="319"/>
      <c r="E87" s="320"/>
      <c r="F87" s="318"/>
      <c r="G87" s="319"/>
      <c r="H87" s="320"/>
      <c r="I87" s="318"/>
      <c r="J87" s="320"/>
      <c r="K87" s="180"/>
      <c r="L87" s="181"/>
      <c r="M87" s="181"/>
      <c r="N87" s="181"/>
      <c r="O87" s="181"/>
      <c r="P87" s="181"/>
      <c r="Q87" s="181"/>
      <c r="R87" s="6"/>
      <c r="S87" s="6"/>
    </row>
    <row r="88" spans="1:19" ht="14.25" customHeight="1" x14ac:dyDescent="0.15">
      <c r="A88" s="321" t="s">
        <v>46</v>
      </c>
      <c r="B88" s="322"/>
      <c r="C88" s="322"/>
      <c r="D88" s="322"/>
      <c r="E88" s="323"/>
      <c r="F88" s="324">
        <v>1691000</v>
      </c>
      <c r="G88" s="325"/>
      <c r="H88" s="326"/>
      <c r="I88" s="327">
        <v>5551000</v>
      </c>
      <c r="J88" s="328"/>
      <c r="K88" s="180"/>
      <c r="L88" s="181"/>
      <c r="M88" s="181"/>
      <c r="N88" s="181"/>
      <c r="O88" s="181"/>
      <c r="P88" s="181"/>
      <c r="Q88" s="181"/>
      <c r="R88" s="6"/>
      <c r="S88" s="6"/>
    </row>
    <row r="89" spans="1:19" ht="12" customHeight="1" x14ac:dyDescent="0.15">
      <c r="A89" s="318"/>
      <c r="B89" s="319"/>
      <c r="C89" s="319"/>
      <c r="D89" s="319"/>
      <c r="E89" s="320"/>
      <c r="F89" s="318"/>
      <c r="G89" s="319"/>
      <c r="H89" s="320"/>
      <c r="I89" s="318"/>
      <c r="J89" s="320"/>
      <c r="K89" s="180"/>
      <c r="L89" s="181"/>
      <c r="M89" s="181"/>
      <c r="N89" s="181"/>
      <c r="O89" s="181"/>
      <c r="P89" s="181"/>
      <c r="Q89" s="181"/>
      <c r="R89" s="6"/>
      <c r="S89" s="6"/>
    </row>
    <row r="90" spans="1:19" ht="14.25" customHeight="1" x14ac:dyDescent="0.15">
      <c r="A90" s="321" t="s">
        <v>47</v>
      </c>
      <c r="B90" s="322"/>
      <c r="C90" s="322"/>
      <c r="D90" s="322"/>
      <c r="E90" s="323"/>
      <c r="F90" s="324">
        <v>69034000</v>
      </c>
      <c r="G90" s="325"/>
      <c r="H90" s="326"/>
      <c r="I90" s="327">
        <v>69034000</v>
      </c>
      <c r="J90" s="328"/>
      <c r="K90" s="180"/>
      <c r="L90" s="181"/>
      <c r="M90" s="181"/>
      <c r="N90" s="181"/>
      <c r="O90" s="181"/>
      <c r="P90" s="181"/>
      <c r="Q90" s="181"/>
      <c r="R90" s="6"/>
      <c r="S90" s="6"/>
    </row>
    <row r="91" spans="1:19" ht="13" customHeight="1" x14ac:dyDescent="0.15">
      <c r="A91" s="318"/>
      <c r="B91" s="319"/>
      <c r="C91" s="319"/>
      <c r="D91" s="319"/>
      <c r="E91" s="320"/>
      <c r="F91" s="318"/>
      <c r="G91" s="319"/>
      <c r="H91" s="320"/>
      <c r="I91" s="318"/>
      <c r="J91" s="320"/>
      <c r="K91" s="180"/>
      <c r="L91" s="181"/>
      <c r="M91" s="181"/>
      <c r="N91" s="181"/>
      <c r="O91" s="181"/>
      <c r="P91" s="181"/>
      <c r="Q91" s="181"/>
      <c r="R91" s="6"/>
      <c r="S91" s="6"/>
    </row>
    <row r="92" spans="1:19" ht="14.25" customHeight="1" x14ac:dyDescent="0.15">
      <c r="A92" s="321" t="s">
        <v>48</v>
      </c>
      <c r="B92" s="322"/>
      <c r="C92" s="322"/>
      <c r="D92" s="322"/>
      <c r="E92" s="323"/>
      <c r="F92" s="324">
        <v>4734000</v>
      </c>
      <c r="G92" s="325"/>
      <c r="H92" s="326"/>
      <c r="I92" s="327">
        <v>13760000</v>
      </c>
      <c r="J92" s="328"/>
      <c r="K92" s="180"/>
      <c r="L92" s="181"/>
      <c r="M92" s="181"/>
      <c r="N92" s="181"/>
      <c r="O92" s="181"/>
      <c r="P92" s="181"/>
      <c r="Q92" s="181"/>
      <c r="R92" s="6"/>
      <c r="S92" s="6"/>
    </row>
    <row r="93" spans="1:19" ht="13" customHeight="1" x14ac:dyDescent="0.15">
      <c r="A93" s="318"/>
      <c r="B93" s="319"/>
      <c r="C93" s="319"/>
      <c r="D93" s="319"/>
      <c r="E93" s="320"/>
      <c r="F93" s="318"/>
      <c r="G93" s="319"/>
      <c r="H93" s="320"/>
      <c r="I93" s="318"/>
      <c r="J93" s="320"/>
      <c r="K93" s="180"/>
      <c r="L93" s="181"/>
      <c r="M93" s="181"/>
      <c r="N93" s="181"/>
      <c r="O93" s="181"/>
      <c r="P93" s="181"/>
      <c r="Q93" s="181"/>
      <c r="R93" s="6"/>
      <c r="S93" s="6"/>
    </row>
    <row r="94" spans="1:19" ht="14.25" customHeight="1" x14ac:dyDescent="0.15">
      <c r="A94" s="321" t="s">
        <v>49</v>
      </c>
      <c r="B94" s="322"/>
      <c r="C94" s="322"/>
      <c r="D94" s="322"/>
      <c r="E94" s="323"/>
      <c r="F94" s="324">
        <v>1978000</v>
      </c>
      <c r="G94" s="325"/>
      <c r="H94" s="326"/>
      <c r="I94" s="327">
        <v>7061000</v>
      </c>
      <c r="J94" s="328"/>
      <c r="K94" s="180"/>
      <c r="L94" s="181"/>
      <c r="M94" s="181"/>
      <c r="N94" s="181"/>
      <c r="O94" s="181"/>
      <c r="P94" s="181"/>
      <c r="Q94" s="181"/>
      <c r="R94" s="6"/>
      <c r="S94" s="6"/>
    </row>
    <row r="95" spans="1:19" ht="13" customHeight="1" x14ac:dyDescent="0.15">
      <c r="A95" s="318"/>
      <c r="B95" s="319"/>
      <c r="C95" s="319"/>
      <c r="D95" s="319"/>
      <c r="E95" s="320"/>
      <c r="F95" s="318"/>
      <c r="G95" s="319"/>
      <c r="H95" s="320"/>
      <c r="I95" s="318"/>
      <c r="J95" s="320"/>
      <c r="K95" s="180"/>
      <c r="L95" s="181"/>
      <c r="M95" s="181"/>
      <c r="N95" s="181"/>
      <c r="O95" s="181"/>
      <c r="P95" s="181"/>
      <c r="Q95" s="181"/>
      <c r="R95" s="6"/>
      <c r="S95" s="6"/>
    </row>
    <row r="96" spans="1:19" ht="14.25" customHeight="1" x14ac:dyDescent="0.15">
      <c r="A96" s="321" t="s">
        <v>50</v>
      </c>
      <c r="B96" s="322"/>
      <c r="C96" s="322"/>
      <c r="D96" s="322"/>
      <c r="E96" s="323"/>
      <c r="F96" s="324">
        <v>21427000</v>
      </c>
      <c r="G96" s="325"/>
      <c r="H96" s="326"/>
      <c r="I96" s="327">
        <v>35560000</v>
      </c>
      <c r="J96" s="328"/>
      <c r="K96" s="180"/>
      <c r="L96" s="181"/>
      <c r="M96" s="181"/>
      <c r="N96" s="181"/>
      <c r="O96" s="181"/>
      <c r="P96" s="181"/>
      <c r="Q96" s="181"/>
      <c r="R96" s="6"/>
      <c r="S96" s="6"/>
    </row>
    <row r="97" spans="1:19" ht="13" customHeight="1" x14ac:dyDescent="0.15">
      <c r="A97" s="318"/>
      <c r="B97" s="319"/>
      <c r="C97" s="319"/>
      <c r="D97" s="319"/>
      <c r="E97" s="320"/>
      <c r="F97" s="318"/>
      <c r="G97" s="319"/>
      <c r="H97" s="320"/>
      <c r="I97" s="318"/>
      <c r="J97" s="320"/>
      <c r="K97" s="180"/>
      <c r="L97" s="181"/>
      <c r="M97" s="181"/>
      <c r="N97" s="181"/>
      <c r="O97" s="181"/>
      <c r="P97" s="181"/>
      <c r="Q97" s="181"/>
      <c r="R97" s="6"/>
      <c r="S97" s="6"/>
    </row>
    <row r="98" spans="1:19" ht="14.25" customHeight="1" x14ac:dyDescent="0.15">
      <c r="A98" s="321" t="s">
        <v>51</v>
      </c>
      <c r="B98" s="322"/>
      <c r="C98" s="322"/>
      <c r="D98" s="322"/>
      <c r="E98" s="323"/>
      <c r="F98" s="324">
        <v>2346000</v>
      </c>
      <c r="G98" s="325"/>
      <c r="H98" s="326"/>
      <c r="I98" s="327">
        <v>6368000</v>
      </c>
      <c r="J98" s="328"/>
      <c r="K98" s="180"/>
      <c r="L98" s="181"/>
      <c r="M98" s="181"/>
      <c r="N98" s="181"/>
      <c r="O98" s="181"/>
      <c r="P98" s="181"/>
      <c r="Q98" s="181"/>
      <c r="R98" s="6"/>
      <c r="S98" s="6"/>
    </row>
    <row r="99" spans="1:19" ht="12" customHeight="1" x14ac:dyDescent="0.15">
      <c r="A99" s="318"/>
      <c r="B99" s="319"/>
      <c r="C99" s="319"/>
      <c r="D99" s="319"/>
      <c r="E99" s="320"/>
      <c r="F99" s="318"/>
      <c r="G99" s="319"/>
      <c r="H99" s="320"/>
      <c r="I99" s="318"/>
      <c r="J99" s="320"/>
      <c r="K99" s="180"/>
      <c r="L99" s="181"/>
      <c r="M99" s="181"/>
      <c r="N99" s="181"/>
      <c r="O99" s="181"/>
      <c r="P99" s="181"/>
      <c r="Q99" s="181"/>
      <c r="R99" s="6"/>
      <c r="S99" s="6"/>
    </row>
    <row r="100" spans="1:19" ht="14.25" customHeight="1" x14ac:dyDescent="0.15">
      <c r="A100" s="321" t="s">
        <v>52</v>
      </c>
      <c r="B100" s="322"/>
      <c r="C100" s="322"/>
      <c r="D100" s="322"/>
      <c r="E100" s="323"/>
      <c r="F100" s="324">
        <v>1125000</v>
      </c>
      <c r="G100" s="325"/>
      <c r="H100" s="326"/>
      <c r="I100" s="327">
        <v>3000000</v>
      </c>
      <c r="J100" s="328"/>
      <c r="K100" s="180"/>
      <c r="L100" s="181"/>
      <c r="M100" s="181"/>
      <c r="N100" s="181"/>
      <c r="O100" s="181"/>
      <c r="P100" s="181"/>
      <c r="Q100" s="181"/>
      <c r="R100" s="6"/>
      <c r="S100" s="6"/>
    </row>
    <row r="101" spans="1:19" ht="14.25" customHeight="1" x14ac:dyDescent="0.15">
      <c r="A101" s="329" t="s">
        <v>34</v>
      </c>
      <c r="B101" s="255"/>
      <c r="C101" s="255"/>
      <c r="D101" s="255"/>
      <c r="E101" s="256"/>
      <c r="F101" s="330">
        <v>171492000</v>
      </c>
      <c r="G101" s="331"/>
      <c r="H101" s="332"/>
      <c r="I101" s="333">
        <v>337791000</v>
      </c>
      <c r="J101" s="334"/>
      <c r="K101" s="180"/>
      <c r="L101" s="181"/>
      <c r="M101" s="181"/>
      <c r="N101" s="181"/>
      <c r="O101" s="181"/>
      <c r="P101" s="181"/>
      <c r="Q101" s="181"/>
      <c r="R101" s="6"/>
      <c r="S101" s="6"/>
    </row>
    <row r="102" spans="1:19" ht="66" customHeight="1" x14ac:dyDescent="0.15">
      <c r="A102" s="268" t="s">
        <v>56</v>
      </c>
      <c r="B102" s="269"/>
      <c r="C102" s="269"/>
      <c r="D102" s="269"/>
      <c r="E102" s="269"/>
      <c r="F102" s="269"/>
      <c r="G102" s="269"/>
      <c r="H102" s="269"/>
      <c r="I102" s="269"/>
      <c r="J102" s="269"/>
      <c r="K102" s="335"/>
      <c r="L102" s="335"/>
      <c r="M102" s="335"/>
      <c r="N102" s="335"/>
      <c r="O102" s="335"/>
      <c r="P102" s="168"/>
      <c r="Q102" s="168"/>
      <c r="R102" s="168"/>
      <c r="S102" s="6"/>
    </row>
    <row r="103" spans="1:19" ht="17.25" customHeight="1" x14ac:dyDescent="0.15">
      <c r="A103" s="270" t="s">
        <v>57</v>
      </c>
      <c r="B103" s="271"/>
      <c r="C103" s="271"/>
      <c r="D103" s="271"/>
      <c r="E103" s="271"/>
      <c r="F103" s="271"/>
      <c r="G103" s="271"/>
      <c r="H103" s="271"/>
      <c r="I103" s="271"/>
      <c r="J103" s="271"/>
      <c r="K103" s="271"/>
      <c r="L103" s="271"/>
      <c r="M103" s="271"/>
      <c r="N103" s="271"/>
      <c r="O103" s="271"/>
      <c r="P103" s="272"/>
      <c r="Q103" s="181"/>
      <c r="R103" s="181"/>
      <c r="S103" s="6"/>
    </row>
    <row r="104" spans="1:19" ht="12.75" customHeight="1" x14ac:dyDescent="0.15">
      <c r="A104" s="9"/>
      <c r="B104" s="150"/>
      <c r="C104" s="150"/>
      <c r="D104" s="150"/>
      <c r="E104" s="150"/>
      <c r="F104" s="150"/>
      <c r="G104" s="150"/>
      <c r="H104" s="150"/>
      <c r="I104" s="150"/>
      <c r="J104" s="150"/>
      <c r="K104" s="150"/>
      <c r="L104" s="150"/>
      <c r="M104" s="150"/>
      <c r="N104" s="150"/>
      <c r="O104" s="150"/>
      <c r="P104" s="181"/>
      <c r="Q104" s="181"/>
      <c r="R104" s="181"/>
      <c r="S104" s="6"/>
    </row>
    <row r="105" spans="1:19" ht="42.75" customHeight="1" x14ac:dyDescent="0.15">
      <c r="A105" s="10"/>
      <c r="B105" s="248" t="s">
        <v>58</v>
      </c>
      <c r="C105" s="249"/>
      <c r="D105" s="250"/>
      <c r="E105" s="251" t="s">
        <v>59</v>
      </c>
      <c r="F105" s="250"/>
      <c r="G105" s="316" t="s">
        <v>60</v>
      </c>
      <c r="H105" s="317"/>
      <c r="I105" s="252" t="s">
        <v>61</v>
      </c>
      <c r="J105" s="253"/>
      <c r="K105" s="254" t="s">
        <v>62</v>
      </c>
      <c r="L105" s="255"/>
      <c r="M105" s="255"/>
      <c r="N105" s="255"/>
      <c r="O105" s="256"/>
      <c r="P105" s="209"/>
      <c r="Q105" s="210"/>
      <c r="R105" s="210"/>
      <c r="S105" s="6"/>
    </row>
    <row r="106" spans="1:19" ht="14.25" customHeight="1" x14ac:dyDescent="0.15">
      <c r="A106" s="128"/>
      <c r="B106" s="129"/>
      <c r="C106" s="129"/>
      <c r="D106" s="129"/>
      <c r="E106" s="129"/>
      <c r="F106" s="129"/>
      <c r="G106" s="129"/>
      <c r="H106" s="129"/>
      <c r="I106" s="129"/>
      <c r="J106" s="130"/>
      <c r="K106" s="128"/>
      <c r="L106" s="129"/>
      <c r="M106" s="129"/>
      <c r="N106" s="129"/>
      <c r="O106" s="130"/>
      <c r="P106" s="180"/>
      <c r="Q106" s="181"/>
      <c r="R106" s="181"/>
      <c r="S106" s="6"/>
    </row>
    <row r="107" spans="1:19" ht="14.25" customHeight="1" x14ac:dyDescent="0.15">
      <c r="A107" s="8" t="s">
        <v>63</v>
      </c>
      <c r="B107" s="152"/>
      <c r="C107" s="152"/>
      <c r="D107" s="152"/>
      <c r="E107" s="152"/>
      <c r="F107" s="152"/>
      <c r="G107" s="152"/>
      <c r="H107" s="152"/>
      <c r="I107" s="135">
        <v>7302000</v>
      </c>
      <c r="J107" s="136"/>
      <c r="K107" s="155">
        <v>9712000</v>
      </c>
      <c r="L107" s="153"/>
      <c r="M107" s="153"/>
      <c r="N107" s="153"/>
      <c r="O107" s="154"/>
      <c r="P107" s="180"/>
      <c r="Q107" s="181"/>
      <c r="R107" s="181"/>
      <c r="S107" s="6"/>
    </row>
    <row r="108" spans="1:19" ht="178.5" customHeight="1" x14ac:dyDescent="0.15">
      <c r="A108" s="218" t="s">
        <v>64</v>
      </c>
      <c r="B108" s="307" t="s">
        <v>65</v>
      </c>
      <c r="C108" s="308"/>
      <c r="D108" s="308"/>
      <c r="E108" s="220" t="s">
        <v>66</v>
      </c>
      <c r="F108" s="221"/>
      <c r="G108" s="222" t="s">
        <v>67</v>
      </c>
      <c r="H108" s="207"/>
      <c r="I108" s="222" t="s">
        <v>68</v>
      </c>
      <c r="J108" s="208"/>
      <c r="K108" s="257" t="s">
        <v>69</v>
      </c>
      <c r="L108" s="258"/>
      <c r="M108" s="258"/>
      <c r="N108" s="258"/>
      <c r="O108" s="259"/>
      <c r="P108" s="209"/>
      <c r="Q108" s="210"/>
      <c r="R108" s="210"/>
      <c r="S108" s="6"/>
    </row>
    <row r="109" spans="1:19" ht="28" customHeight="1" x14ac:dyDescent="0.15">
      <c r="A109" s="209"/>
      <c r="B109" s="309"/>
      <c r="C109" s="309"/>
      <c r="D109" s="309"/>
      <c r="E109" s="235"/>
      <c r="F109" s="235"/>
      <c r="G109" s="210"/>
      <c r="H109" s="210"/>
      <c r="I109" s="210"/>
      <c r="J109" s="211"/>
      <c r="K109" s="170" t="s">
        <v>69</v>
      </c>
      <c r="L109" s="171"/>
      <c r="M109" s="171"/>
      <c r="N109" s="171"/>
      <c r="O109" s="195"/>
      <c r="P109" s="167"/>
      <c r="Q109" s="168"/>
      <c r="R109" s="168"/>
      <c r="S109" s="6"/>
    </row>
    <row r="110" spans="1:19" ht="28" customHeight="1" x14ac:dyDescent="0.15">
      <c r="A110" s="209"/>
      <c r="B110" s="309"/>
      <c r="C110" s="309"/>
      <c r="D110" s="309"/>
      <c r="E110" s="235"/>
      <c r="F110" s="235"/>
      <c r="G110" s="210"/>
      <c r="H110" s="210"/>
      <c r="I110" s="210"/>
      <c r="J110" s="211"/>
      <c r="K110" s="170" t="s">
        <v>70</v>
      </c>
      <c r="L110" s="171"/>
      <c r="M110" s="171"/>
      <c r="N110" s="171"/>
      <c r="O110" s="195"/>
      <c r="P110" s="167"/>
      <c r="Q110" s="168"/>
      <c r="R110" s="168"/>
      <c r="S110" s="6"/>
    </row>
    <row r="111" spans="1:19" ht="28" customHeight="1" x14ac:dyDescent="0.15">
      <c r="A111" s="209"/>
      <c r="B111" s="309"/>
      <c r="C111" s="309"/>
      <c r="D111" s="309"/>
      <c r="E111" s="235"/>
      <c r="F111" s="235"/>
      <c r="G111" s="210"/>
      <c r="H111" s="210"/>
      <c r="I111" s="210"/>
      <c r="J111" s="211"/>
      <c r="K111" s="170" t="s">
        <v>71</v>
      </c>
      <c r="L111" s="171"/>
      <c r="M111" s="171"/>
      <c r="N111" s="171"/>
      <c r="O111" s="195"/>
      <c r="P111" s="167"/>
      <c r="Q111" s="168"/>
      <c r="R111" s="168"/>
      <c r="S111" s="6"/>
    </row>
    <row r="112" spans="1:19" ht="21" customHeight="1" x14ac:dyDescent="0.15">
      <c r="A112" s="209"/>
      <c r="B112" s="309"/>
      <c r="C112" s="309"/>
      <c r="D112" s="309"/>
      <c r="E112" s="235"/>
      <c r="F112" s="235"/>
      <c r="G112" s="210"/>
      <c r="H112" s="210"/>
      <c r="I112" s="210"/>
      <c r="J112" s="211"/>
      <c r="K112" s="170" t="s">
        <v>72</v>
      </c>
      <c r="L112" s="171"/>
      <c r="M112" s="171"/>
      <c r="N112" s="171"/>
      <c r="O112" s="195"/>
      <c r="P112" s="167"/>
      <c r="Q112" s="168"/>
      <c r="R112" s="168"/>
      <c r="S112" s="6"/>
    </row>
    <row r="113" spans="1:19" ht="21" customHeight="1" x14ac:dyDescent="0.15">
      <c r="A113" s="209"/>
      <c r="B113" s="309"/>
      <c r="C113" s="309"/>
      <c r="D113" s="309"/>
      <c r="E113" s="235"/>
      <c r="F113" s="235"/>
      <c r="G113" s="210"/>
      <c r="H113" s="210"/>
      <c r="I113" s="210"/>
      <c r="J113" s="211"/>
      <c r="K113" s="170" t="s">
        <v>73</v>
      </c>
      <c r="L113" s="171"/>
      <c r="M113" s="171"/>
      <c r="N113" s="171"/>
      <c r="O113" s="195"/>
      <c r="P113" s="167"/>
      <c r="Q113" s="168"/>
      <c r="R113" s="168"/>
      <c r="S113" s="6"/>
    </row>
    <row r="114" spans="1:19" ht="158.25" customHeight="1" x14ac:dyDescent="0.15">
      <c r="A114" s="127"/>
      <c r="B114" s="242"/>
      <c r="C114" s="242"/>
      <c r="D114" s="242"/>
      <c r="E114" s="236"/>
      <c r="F114" s="236"/>
      <c r="G114" s="125"/>
      <c r="H114" s="125"/>
      <c r="I114" s="125"/>
      <c r="J114" s="126"/>
      <c r="K114" s="183" t="s">
        <v>74</v>
      </c>
      <c r="L114" s="184"/>
      <c r="M114" s="184"/>
      <c r="N114" s="184"/>
      <c r="O114" s="197"/>
      <c r="P114" s="209"/>
      <c r="Q114" s="210"/>
      <c r="R114" s="210"/>
      <c r="S114" s="6"/>
    </row>
    <row r="115" spans="1:19" ht="14.25" customHeight="1" x14ac:dyDescent="0.15">
      <c r="A115" s="128"/>
      <c r="B115" s="129"/>
      <c r="C115" s="129"/>
      <c r="D115" s="129"/>
      <c r="E115" s="129"/>
      <c r="F115" s="129"/>
      <c r="G115" s="129"/>
      <c r="H115" s="129"/>
      <c r="I115" s="129"/>
      <c r="J115" s="130"/>
      <c r="K115" s="128"/>
      <c r="L115" s="129"/>
      <c r="M115" s="129"/>
      <c r="N115" s="129"/>
      <c r="O115" s="130"/>
      <c r="P115" s="180"/>
      <c r="Q115" s="181"/>
      <c r="R115" s="181"/>
      <c r="S115" s="6"/>
    </row>
    <row r="116" spans="1:19" ht="14.25" customHeight="1" x14ac:dyDescent="0.15">
      <c r="A116" s="8" t="s">
        <v>75</v>
      </c>
      <c r="B116" s="152"/>
      <c r="C116" s="152"/>
      <c r="D116" s="152"/>
      <c r="E116" s="152"/>
      <c r="F116" s="152"/>
      <c r="G116" s="152"/>
      <c r="H116" s="152"/>
      <c r="I116" s="135">
        <v>623000</v>
      </c>
      <c r="J116" s="136"/>
      <c r="K116" s="155">
        <v>829000</v>
      </c>
      <c r="L116" s="153"/>
      <c r="M116" s="153"/>
      <c r="N116" s="153"/>
      <c r="O116" s="154"/>
      <c r="P116" s="180"/>
      <c r="Q116" s="181"/>
      <c r="R116" s="181"/>
      <c r="S116" s="6"/>
    </row>
    <row r="117" spans="1:19" ht="42" customHeight="1" x14ac:dyDescent="0.15">
      <c r="A117" s="12" t="s">
        <v>76</v>
      </c>
      <c r="B117" s="231" t="s">
        <v>77</v>
      </c>
      <c r="C117" s="138"/>
      <c r="D117" s="138"/>
      <c r="E117" s="232" t="s">
        <v>78</v>
      </c>
      <c r="F117" s="233"/>
      <c r="G117" s="230" t="s">
        <v>79</v>
      </c>
      <c r="H117" s="138"/>
      <c r="I117" s="230" t="s">
        <v>80</v>
      </c>
      <c r="J117" s="139"/>
      <c r="K117" s="234"/>
      <c r="L117" s="138"/>
      <c r="M117" s="138"/>
      <c r="N117" s="138"/>
      <c r="O117" s="139"/>
      <c r="P117" s="209"/>
      <c r="Q117" s="210"/>
      <c r="R117" s="210"/>
      <c r="S117" s="6"/>
    </row>
    <row r="118" spans="1:19" ht="14.25" customHeight="1" x14ac:dyDescent="0.15">
      <c r="A118" s="128"/>
      <c r="B118" s="129"/>
      <c r="C118" s="129"/>
      <c r="D118" s="129"/>
      <c r="E118" s="129"/>
      <c r="F118" s="129"/>
      <c r="G118" s="129"/>
      <c r="H118" s="129"/>
      <c r="I118" s="129"/>
      <c r="J118" s="130"/>
      <c r="K118" s="128"/>
      <c r="L118" s="129"/>
      <c r="M118" s="129"/>
      <c r="N118" s="129"/>
      <c r="O118" s="130"/>
      <c r="P118" s="180"/>
      <c r="Q118" s="181"/>
      <c r="R118" s="181"/>
      <c r="S118" s="6"/>
    </row>
    <row r="119" spans="1:19" ht="15" customHeight="1" x14ac:dyDescent="0.15">
      <c r="A119" s="8" t="s">
        <v>81</v>
      </c>
      <c r="B119" s="152"/>
      <c r="C119" s="152"/>
      <c r="D119" s="152"/>
      <c r="E119" s="152"/>
      <c r="F119" s="152"/>
      <c r="G119" s="152"/>
      <c r="H119" s="152"/>
      <c r="I119" s="135">
        <v>9551000</v>
      </c>
      <c r="J119" s="136"/>
      <c r="K119" s="155">
        <v>12703000</v>
      </c>
      <c r="L119" s="153"/>
      <c r="M119" s="153"/>
      <c r="N119" s="153"/>
      <c r="O119" s="154"/>
      <c r="P119" s="180"/>
      <c r="Q119" s="181"/>
      <c r="R119" s="181"/>
      <c r="S119" s="6"/>
    </row>
    <row r="120" spans="1:19" ht="28.5" customHeight="1" x14ac:dyDescent="0.15">
      <c r="A120" s="13" t="s">
        <v>82</v>
      </c>
      <c r="B120" s="313">
        <v>3</v>
      </c>
      <c r="C120" s="313"/>
      <c r="D120" s="313"/>
      <c r="E120" s="314" t="s">
        <v>83</v>
      </c>
      <c r="F120" s="224"/>
      <c r="G120" s="315">
        <v>17850</v>
      </c>
      <c r="H120" s="315"/>
      <c r="I120" s="291">
        <v>53550</v>
      </c>
      <c r="J120" s="292"/>
      <c r="K120" s="164"/>
      <c r="L120" s="165"/>
      <c r="M120" s="165"/>
      <c r="N120" s="165"/>
      <c r="O120" s="166"/>
      <c r="P120" s="167"/>
      <c r="Q120" s="168"/>
      <c r="R120" s="168"/>
      <c r="S120" s="6"/>
    </row>
    <row r="121" spans="1:19" ht="15" customHeight="1" x14ac:dyDescent="0.15">
      <c r="A121" s="194" t="s">
        <v>84</v>
      </c>
      <c r="B121" s="171"/>
      <c r="C121" s="178">
        <v>12569</v>
      </c>
      <c r="D121" s="178"/>
      <c r="E121" s="173" t="s">
        <v>85</v>
      </c>
      <c r="F121" s="174"/>
      <c r="G121" s="179">
        <v>595</v>
      </c>
      <c r="H121" s="179"/>
      <c r="I121" s="176">
        <v>7478258</v>
      </c>
      <c r="J121" s="177"/>
      <c r="K121" s="180"/>
      <c r="L121" s="181"/>
      <c r="M121" s="181"/>
      <c r="N121" s="181"/>
      <c r="O121" s="182"/>
      <c r="P121" s="14"/>
      <c r="Q121" s="6"/>
      <c r="R121" s="6"/>
      <c r="S121" s="6"/>
    </row>
    <row r="122" spans="1:19" ht="14.25" customHeight="1" x14ac:dyDescent="0.15">
      <c r="A122" s="194" t="s">
        <v>86</v>
      </c>
      <c r="B122" s="171"/>
      <c r="C122" s="178">
        <v>12569</v>
      </c>
      <c r="D122" s="178"/>
      <c r="E122" s="173" t="s">
        <v>85</v>
      </c>
      <c r="F122" s="174"/>
      <c r="G122" s="179">
        <v>49.98</v>
      </c>
      <c r="H122" s="179"/>
      <c r="I122" s="176">
        <v>628174</v>
      </c>
      <c r="J122" s="177"/>
      <c r="K122" s="180"/>
      <c r="L122" s="181"/>
      <c r="M122" s="181"/>
      <c r="N122" s="181"/>
      <c r="O122" s="182"/>
      <c r="P122" s="14"/>
      <c r="Q122" s="6"/>
      <c r="R122" s="6"/>
      <c r="S122" s="6"/>
    </row>
    <row r="123" spans="1:19" ht="14.25" customHeight="1" x14ac:dyDescent="0.15">
      <c r="A123" s="170" t="s">
        <v>87</v>
      </c>
      <c r="B123" s="171"/>
      <c r="C123" s="181"/>
      <c r="D123" s="181"/>
      <c r="E123" s="181"/>
      <c r="F123" s="181"/>
      <c r="G123" s="181"/>
      <c r="H123" s="181"/>
      <c r="I123" s="181"/>
      <c r="J123" s="182"/>
      <c r="K123" s="180"/>
      <c r="L123" s="181"/>
      <c r="M123" s="181"/>
      <c r="N123" s="181"/>
      <c r="O123" s="182"/>
      <c r="P123" s="14"/>
      <c r="Q123" s="6"/>
      <c r="R123" s="6"/>
      <c r="S123" s="6"/>
    </row>
    <row r="124" spans="1:19" ht="14.25" customHeight="1" x14ac:dyDescent="0.15">
      <c r="A124" s="194" t="s">
        <v>88</v>
      </c>
      <c r="B124" s="171"/>
      <c r="C124" s="172">
        <v>2</v>
      </c>
      <c r="D124" s="172"/>
      <c r="E124" s="173" t="s">
        <v>83</v>
      </c>
      <c r="F124" s="174"/>
      <c r="G124" s="175">
        <v>17850</v>
      </c>
      <c r="H124" s="175"/>
      <c r="I124" s="176">
        <v>36000</v>
      </c>
      <c r="J124" s="177"/>
      <c r="K124" s="180"/>
      <c r="L124" s="181"/>
      <c r="M124" s="181"/>
      <c r="N124" s="181"/>
      <c r="O124" s="182"/>
      <c r="P124" s="14"/>
      <c r="Q124" s="6"/>
      <c r="R124" s="6"/>
      <c r="S124" s="6"/>
    </row>
    <row r="125" spans="1:19" ht="14.25" customHeight="1" x14ac:dyDescent="0.15">
      <c r="A125" s="194" t="s">
        <v>84</v>
      </c>
      <c r="B125" s="171"/>
      <c r="C125" s="178">
        <v>2554</v>
      </c>
      <c r="D125" s="178"/>
      <c r="E125" s="173" t="s">
        <v>85</v>
      </c>
      <c r="F125" s="174"/>
      <c r="G125" s="179">
        <v>480.46</v>
      </c>
      <c r="H125" s="179"/>
      <c r="I125" s="176">
        <v>1227000</v>
      </c>
      <c r="J125" s="177"/>
      <c r="K125" s="170" t="s">
        <v>89</v>
      </c>
      <c r="L125" s="171"/>
      <c r="M125" s="171"/>
      <c r="N125" s="171"/>
      <c r="O125" s="195"/>
      <c r="P125" s="14"/>
      <c r="Q125" s="6"/>
      <c r="R125" s="6"/>
      <c r="S125" s="6"/>
    </row>
    <row r="126" spans="1:19" ht="14.25" customHeight="1" x14ac:dyDescent="0.15">
      <c r="A126" s="279" t="s">
        <v>86</v>
      </c>
      <c r="B126" s="184"/>
      <c r="C126" s="185">
        <v>2554</v>
      </c>
      <c r="D126" s="185"/>
      <c r="E126" s="186" t="s">
        <v>85</v>
      </c>
      <c r="F126" s="187"/>
      <c r="G126" s="188">
        <v>49.98</v>
      </c>
      <c r="H126" s="188"/>
      <c r="I126" s="189">
        <v>128000</v>
      </c>
      <c r="J126" s="190"/>
      <c r="K126" s="191"/>
      <c r="L126" s="192"/>
      <c r="M126" s="192"/>
      <c r="N126" s="192"/>
      <c r="O126" s="193"/>
      <c r="P126" s="14"/>
      <c r="Q126" s="6"/>
      <c r="R126" s="6"/>
      <c r="S126" s="6"/>
    </row>
    <row r="127" spans="1:19" ht="14.25" customHeight="1" x14ac:dyDescent="0.15">
      <c r="A127" s="128"/>
      <c r="B127" s="129"/>
      <c r="C127" s="129"/>
      <c r="D127" s="129"/>
      <c r="E127" s="129"/>
      <c r="F127" s="129"/>
      <c r="G127" s="129"/>
      <c r="H127" s="129"/>
      <c r="I127" s="129"/>
      <c r="J127" s="130"/>
      <c r="K127" s="128"/>
      <c r="L127" s="129"/>
      <c r="M127" s="129"/>
      <c r="N127" s="129"/>
      <c r="O127" s="130"/>
      <c r="P127" s="14"/>
      <c r="Q127" s="6"/>
      <c r="R127" s="6"/>
      <c r="S127" s="6"/>
    </row>
    <row r="128" spans="1:19" ht="14.25" customHeight="1" x14ac:dyDescent="0.15">
      <c r="A128" s="131" t="s">
        <v>90</v>
      </c>
      <c r="B128" s="132"/>
      <c r="C128" s="152"/>
      <c r="D128" s="152"/>
      <c r="E128" s="152"/>
      <c r="F128" s="152"/>
      <c r="G128" s="152"/>
      <c r="H128" s="152"/>
      <c r="I128" s="153">
        <v>520000</v>
      </c>
      <c r="J128" s="154"/>
      <c r="K128" s="155">
        <v>692000</v>
      </c>
      <c r="L128" s="153"/>
      <c r="M128" s="153"/>
      <c r="N128" s="153"/>
      <c r="O128" s="154"/>
      <c r="P128" s="14"/>
      <c r="Q128" s="6"/>
      <c r="R128" s="6"/>
      <c r="S128" s="6"/>
    </row>
    <row r="129" spans="1:19" ht="28" customHeight="1" x14ac:dyDescent="0.15">
      <c r="A129" s="137" t="s">
        <v>91</v>
      </c>
      <c r="B129" s="138"/>
      <c r="C129" s="212">
        <v>3635</v>
      </c>
      <c r="D129" s="212"/>
      <c r="E129" s="213" t="s">
        <v>85</v>
      </c>
      <c r="F129" s="214"/>
      <c r="G129" s="215">
        <v>142.80000000000001</v>
      </c>
      <c r="H129" s="215"/>
      <c r="I129" s="216">
        <v>519078</v>
      </c>
      <c r="J129" s="217"/>
      <c r="K129" s="140"/>
      <c r="L129" s="141"/>
      <c r="M129" s="141"/>
      <c r="N129" s="141"/>
      <c r="O129" s="142"/>
      <c r="P129" s="14"/>
      <c r="Q129" s="6"/>
      <c r="R129" s="6"/>
      <c r="S129" s="6"/>
    </row>
    <row r="130" spans="1:19" ht="14.25" customHeight="1" x14ac:dyDescent="0.15">
      <c r="A130" s="128"/>
      <c r="B130" s="129"/>
      <c r="C130" s="129"/>
      <c r="D130" s="129"/>
      <c r="E130" s="129"/>
      <c r="F130" s="129"/>
      <c r="G130" s="129"/>
      <c r="H130" s="129"/>
      <c r="I130" s="129"/>
      <c r="J130" s="130"/>
      <c r="K130" s="128"/>
      <c r="L130" s="129"/>
      <c r="M130" s="129"/>
      <c r="N130" s="129"/>
      <c r="O130" s="130"/>
      <c r="P130" s="14"/>
      <c r="Q130" s="6"/>
      <c r="R130" s="6"/>
      <c r="S130" s="6"/>
    </row>
    <row r="131" spans="1:19" ht="14.25" customHeight="1" x14ac:dyDescent="0.15">
      <c r="A131" s="131" t="s">
        <v>92</v>
      </c>
      <c r="B131" s="132"/>
      <c r="C131" s="152"/>
      <c r="D131" s="152"/>
      <c r="E131" s="152"/>
      <c r="F131" s="152"/>
      <c r="G131" s="152"/>
      <c r="H131" s="152"/>
      <c r="I131" s="153">
        <v>7268000</v>
      </c>
      <c r="J131" s="154"/>
      <c r="K131" s="155">
        <v>9667000</v>
      </c>
      <c r="L131" s="153"/>
      <c r="M131" s="153"/>
      <c r="N131" s="153"/>
      <c r="O131" s="154"/>
      <c r="P131" s="14"/>
      <c r="Q131" s="6"/>
      <c r="R131" s="6"/>
      <c r="S131" s="6"/>
    </row>
    <row r="132" spans="1:19" ht="14.25" customHeight="1" x14ac:dyDescent="0.15">
      <c r="A132" s="156" t="s">
        <v>93</v>
      </c>
      <c r="B132" s="157"/>
      <c r="C132" s="203">
        <v>5850</v>
      </c>
      <c r="D132" s="203"/>
      <c r="E132" s="159" t="s">
        <v>85</v>
      </c>
      <c r="F132" s="160"/>
      <c r="G132" s="204">
        <v>14.88</v>
      </c>
      <c r="H132" s="204"/>
      <c r="I132" s="162">
        <v>87019</v>
      </c>
      <c r="J132" s="163"/>
      <c r="K132" s="200"/>
      <c r="L132" s="198"/>
      <c r="M132" s="198"/>
      <c r="N132" s="198"/>
      <c r="O132" s="199"/>
      <c r="P132" s="14"/>
      <c r="Q132" s="6"/>
      <c r="R132" s="6"/>
      <c r="S132" s="6"/>
    </row>
    <row r="133" spans="1:19" ht="14.25" customHeight="1" x14ac:dyDescent="0.15">
      <c r="A133" s="196" t="s">
        <v>94</v>
      </c>
      <c r="B133" s="171"/>
      <c r="C133" s="181"/>
      <c r="D133" s="181"/>
      <c r="E133" s="181"/>
      <c r="F133" s="181"/>
      <c r="G133" s="181"/>
      <c r="H133" s="181"/>
      <c r="I133" s="181"/>
      <c r="J133" s="182"/>
      <c r="K133" s="180"/>
      <c r="L133" s="181"/>
      <c r="M133" s="181"/>
      <c r="N133" s="181"/>
      <c r="O133" s="181"/>
      <c r="P133" s="6"/>
      <c r="Q133" s="6"/>
      <c r="R133" s="6"/>
      <c r="S133" s="6"/>
    </row>
    <row r="134" spans="1:19" ht="14.25" customHeight="1" x14ac:dyDescent="0.15">
      <c r="A134" s="302" t="s">
        <v>95</v>
      </c>
      <c r="B134" s="171"/>
      <c r="C134" s="178">
        <v>4400</v>
      </c>
      <c r="D134" s="178"/>
      <c r="E134" s="173" t="s">
        <v>85</v>
      </c>
      <c r="F134" s="174"/>
      <c r="G134" s="179">
        <v>220.15</v>
      </c>
      <c r="H134" s="179"/>
      <c r="I134" s="176">
        <v>969000</v>
      </c>
      <c r="J134" s="177"/>
      <c r="K134" s="170" t="s">
        <v>96</v>
      </c>
      <c r="L134" s="171"/>
      <c r="M134" s="171"/>
      <c r="N134" s="171"/>
      <c r="O134" s="171"/>
      <c r="P134" s="6"/>
      <c r="Q134" s="6"/>
      <c r="R134" s="6"/>
      <c r="S134" s="6"/>
    </row>
    <row r="135" spans="1:19" ht="14.25" customHeight="1" x14ac:dyDescent="0.15">
      <c r="A135" s="196" t="s">
        <v>97</v>
      </c>
      <c r="B135" s="171"/>
      <c r="C135" s="181"/>
      <c r="D135" s="181"/>
      <c r="E135" s="181"/>
      <c r="F135" s="181"/>
      <c r="G135" s="181"/>
      <c r="H135" s="181"/>
      <c r="I135" s="181"/>
      <c r="J135" s="182"/>
      <c r="K135" s="180"/>
      <c r="L135" s="181"/>
      <c r="M135" s="181"/>
      <c r="N135" s="181"/>
      <c r="O135" s="181"/>
      <c r="P135" s="6"/>
      <c r="Q135" s="6"/>
      <c r="R135" s="6"/>
      <c r="S135" s="6"/>
    </row>
    <row r="136" spans="1:19" ht="14.25" customHeight="1" x14ac:dyDescent="0.15">
      <c r="A136" s="302" t="s">
        <v>98</v>
      </c>
      <c r="B136" s="171"/>
      <c r="C136" s="178">
        <v>5000</v>
      </c>
      <c r="D136" s="178"/>
      <c r="E136" s="173" t="s">
        <v>85</v>
      </c>
      <c r="F136" s="174"/>
      <c r="G136" s="179">
        <v>654.5</v>
      </c>
      <c r="H136" s="179"/>
      <c r="I136" s="176">
        <v>3273000</v>
      </c>
      <c r="J136" s="177"/>
      <c r="K136" s="180"/>
      <c r="L136" s="181"/>
      <c r="M136" s="181"/>
      <c r="N136" s="181"/>
      <c r="O136" s="181"/>
      <c r="P136" s="6"/>
      <c r="Q136" s="6"/>
      <c r="R136" s="6"/>
      <c r="S136" s="6"/>
    </row>
    <row r="137" spans="1:19" ht="14.25" customHeight="1" x14ac:dyDescent="0.15">
      <c r="A137" s="302" t="s">
        <v>99</v>
      </c>
      <c r="B137" s="171"/>
      <c r="C137" s="178">
        <v>1310</v>
      </c>
      <c r="D137" s="178"/>
      <c r="E137" s="173" t="s">
        <v>85</v>
      </c>
      <c r="F137" s="174"/>
      <c r="G137" s="179">
        <v>981.75</v>
      </c>
      <c r="H137" s="179"/>
      <c r="I137" s="176">
        <v>1286000</v>
      </c>
      <c r="J137" s="177"/>
      <c r="K137" s="180"/>
      <c r="L137" s="181"/>
      <c r="M137" s="181"/>
      <c r="N137" s="181"/>
      <c r="O137" s="181"/>
      <c r="P137" s="6"/>
      <c r="Q137" s="6"/>
      <c r="R137" s="6"/>
      <c r="S137" s="6"/>
    </row>
    <row r="138" spans="1:19" ht="14.25" customHeight="1" x14ac:dyDescent="0.15">
      <c r="A138" s="302" t="s">
        <v>86</v>
      </c>
      <c r="B138" s="171"/>
      <c r="C138" s="178">
        <v>1310</v>
      </c>
      <c r="D138" s="178"/>
      <c r="E138" s="173" t="s">
        <v>85</v>
      </c>
      <c r="F138" s="174"/>
      <c r="G138" s="179">
        <v>49.98</v>
      </c>
      <c r="H138" s="179"/>
      <c r="I138" s="176">
        <v>66000</v>
      </c>
      <c r="J138" s="177"/>
      <c r="K138" s="180"/>
      <c r="L138" s="181"/>
      <c r="M138" s="181"/>
      <c r="N138" s="181"/>
      <c r="O138" s="181"/>
      <c r="P138" s="6"/>
      <c r="Q138" s="6"/>
      <c r="R138" s="6"/>
      <c r="S138" s="6"/>
    </row>
    <row r="139" spans="1:19" ht="14.25" customHeight="1" x14ac:dyDescent="0.15">
      <c r="A139" s="303" t="s">
        <v>100</v>
      </c>
      <c r="B139" s="184"/>
      <c r="C139" s="185">
        <v>7200</v>
      </c>
      <c r="D139" s="185"/>
      <c r="E139" s="186" t="s">
        <v>85</v>
      </c>
      <c r="F139" s="187"/>
      <c r="G139" s="188">
        <v>220.15</v>
      </c>
      <c r="H139" s="188"/>
      <c r="I139" s="189">
        <v>1586000</v>
      </c>
      <c r="J139" s="190"/>
      <c r="K139" s="191"/>
      <c r="L139" s="192"/>
      <c r="M139" s="192"/>
      <c r="N139" s="192"/>
      <c r="O139" s="192"/>
      <c r="P139" s="6"/>
      <c r="Q139" s="6"/>
      <c r="R139" s="6"/>
      <c r="S139" s="6"/>
    </row>
    <row r="140" spans="1:19" ht="14.25" customHeight="1" x14ac:dyDescent="0.15">
      <c r="A140" s="128"/>
      <c r="B140" s="129"/>
      <c r="C140" s="129"/>
      <c r="D140" s="129"/>
      <c r="E140" s="129"/>
      <c r="F140" s="129"/>
      <c r="G140" s="129"/>
      <c r="H140" s="129"/>
      <c r="I140" s="129"/>
      <c r="J140" s="130"/>
      <c r="K140" s="128"/>
      <c r="L140" s="129"/>
      <c r="M140" s="129"/>
      <c r="N140" s="129"/>
      <c r="O140" s="130"/>
      <c r="P140" s="14"/>
      <c r="Q140" s="6"/>
      <c r="R140" s="6"/>
      <c r="S140" s="6"/>
    </row>
    <row r="141" spans="1:19" ht="15" customHeight="1" x14ac:dyDescent="0.15">
      <c r="A141" s="131" t="s">
        <v>101</v>
      </c>
      <c r="B141" s="132"/>
      <c r="C141" s="152"/>
      <c r="D141" s="152"/>
      <c r="E141" s="152"/>
      <c r="F141" s="152"/>
      <c r="G141" s="152"/>
      <c r="H141" s="152"/>
      <c r="I141" s="153">
        <v>512000</v>
      </c>
      <c r="J141" s="154"/>
      <c r="K141" s="155">
        <v>681000</v>
      </c>
      <c r="L141" s="153"/>
      <c r="M141" s="153"/>
      <c r="N141" s="153"/>
      <c r="O141" s="154"/>
      <c r="P141" s="14"/>
      <c r="Q141" s="6"/>
      <c r="R141" s="6"/>
      <c r="S141" s="6"/>
    </row>
    <row r="142" spans="1:19" ht="14.25" customHeight="1" x14ac:dyDescent="0.15">
      <c r="A142" s="156" t="s">
        <v>102</v>
      </c>
      <c r="B142" s="157"/>
      <c r="C142" s="198"/>
      <c r="D142" s="198"/>
      <c r="E142" s="198"/>
      <c r="F142" s="198"/>
      <c r="G142" s="198"/>
      <c r="H142" s="198"/>
      <c r="I142" s="198"/>
      <c r="J142" s="199"/>
      <c r="K142" s="200"/>
      <c r="L142" s="198"/>
      <c r="M142" s="198"/>
      <c r="N142" s="198"/>
      <c r="O142" s="199"/>
      <c r="P142" s="14"/>
      <c r="Q142" s="6"/>
      <c r="R142" s="6"/>
      <c r="S142" s="6"/>
    </row>
    <row r="143" spans="1:19" ht="13" customHeight="1" x14ac:dyDescent="0.15">
      <c r="A143" s="279" t="s">
        <v>95</v>
      </c>
      <c r="B143" s="184"/>
      <c r="C143" s="185">
        <v>3100</v>
      </c>
      <c r="D143" s="185"/>
      <c r="E143" s="186" t="s">
        <v>85</v>
      </c>
      <c r="F143" s="187"/>
      <c r="G143" s="188">
        <v>165.11</v>
      </c>
      <c r="H143" s="188"/>
      <c r="I143" s="189">
        <v>511849</v>
      </c>
      <c r="J143" s="190"/>
      <c r="K143" s="183" t="s">
        <v>103</v>
      </c>
      <c r="L143" s="184"/>
      <c r="M143" s="184"/>
      <c r="N143" s="184"/>
      <c r="O143" s="184"/>
      <c r="P143" s="6"/>
      <c r="Q143" s="6"/>
      <c r="R143" s="6"/>
      <c r="S143" s="6"/>
    </row>
    <row r="144" spans="1:19" ht="15" customHeight="1" x14ac:dyDescent="0.15">
      <c r="A144" s="128"/>
      <c r="B144" s="129"/>
      <c r="C144" s="129"/>
      <c r="D144" s="129"/>
      <c r="E144" s="129"/>
      <c r="F144" s="129"/>
      <c r="G144" s="129"/>
      <c r="H144" s="129"/>
      <c r="I144" s="129"/>
      <c r="J144" s="130"/>
      <c r="K144" s="128"/>
      <c r="L144" s="129"/>
      <c r="M144" s="129"/>
      <c r="N144" s="129"/>
      <c r="O144" s="130"/>
      <c r="P144" s="14"/>
      <c r="Q144" s="6"/>
      <c r="R144" s="6"/>
      <c r="S144" s="6"/>
    </row>
    <row r="145" spans="1:19" ht="14.25" customHeight="1" x14ac:dyDescent="0.15">
      <c r="A145" s="131" t="s">
        <v>104</v>
      </c>
      <c r="B145" s="132"/>
      <c r="C145" s="152"/>
      <c r="D145" s="152"/>
      <c r="E145" s="152"/>
      <c r="F145" s="152"/>
      <c r="G145" s="152"/>
      <c r="H145" s="152"/>
      <c r="I145" s="153">
        <v>1285000</v>
      </c>
      <c r="J145" s="154"/>
      <c r="K145" s="155">
        <v>1710000</v>
      </c>
      <c r="L145" s="153"/>
      <c r="M145" s="153"/>
      <c r="N145" s="153"/>
      <c r="O145" s="154"/>
      <c r="P145" s="14"/>
      <c r="Q145" s="6"/>
      <c r="R145" s="6"/>
      <c r="S145" s="6"/>
    </row>
    <row r="146" spans="1:19" ht="14.25" customHeight="1" x14ac:dyDescent="0.15">
      <c r="A146" s="156" t="s">
        <v>105</v>
      </c>
      <c r="B146" s="157"/>
      <c r="C146" s="198"/>
      <c r="D146" s="198"/>
      <c r="E146" s="198"/>
      <c r="F146" s="198"/>
      <c r="G146" s="198"/>
      <c r="H146" s="198"/>
      <c r="I146" s="198"/>
      <c r="J146" s="199"/>
      <c r="K146" s="200"/>
      <c r="L146" s="198"/>
      <c r="M146" s="198"/>
      <c r="N146" s="198"/>
      <c r="O146" s="199"/>
      <c r="P146" s="14"/>
      <c r="Q146" s="6"/>
      <c r="R146" s="6"/>
      <c r="S146" s="6"/>
    </row>
    <row r="147" spans="1:19" ht="14.25" customHeight="1" x14ac:dyDescent="0.15">
      <c r="A147" s="194" t="s">
        <v>84</v>
      </c>
      <c r="B147" s="171"/>
      <c r="C147" s="178">
        <v>1756</v>
      </c>
      <c r="D147" s="178"/>
      <c r="E147" s="173" t="s">
        <v>85</v>
      </c>
      <c r="F147" s="174"/>
      <c r="G147" s="179">
        <v>565.25</v>
      </c>
      <c r="H147" s="179"/>
      <c r="I147" s="176">
        <v>992353</v>
      </c>
      <c r="J147" s="177"/>
      <c r="K147" s="170" t="s">
        <v>106</v>
      </c>
      <c r="L147" s="171"/>
      <c r="M147" s="171"/>
      <c r="N147" s="171"/>
      <c r="O147" s="195"/>
      <c r="P147" s="14"/>
      <c r="Q147" s="6"/>
      <c r="R147" s="6"/>
      <c r="S147" s="6"/>
    </row>
    <row r="148" spans="1:19" ht="14.25" customHeight="1" x14ac:dyDescent="0.15">
      <c r="A148" s="194" t="s">
        <v>86</v>
      </c>
      <c r="B148" s="171"/>
      <c r="C148" s="178">
        <v>1756</v>
      </c>
      <c r="D148" s="178"/>
      <c r="E148" s="173" t="s">
        <v>85</v>
      </c>
      <c r="F148" s="174"/>
      <c r="G148" s="179">
        <v>49.98</v>
      </c>
      <c r="H148" s="179"/>
      <c r="I148" s="176">
        <v>87745</v>
      </c>
      <c r="J148" s="177"/>
      <c r="K148" s="180"/>
      <c r="L148" s="181"/>
      <c r="M148" s="181"/>
      <c r="N148" s="181"/>
      <c r="O148" s="182"/>
      <c r="P148" s="14"/>
      <c r="Q148" s="6"/>
      <c r="R148" s="6"/>
      <c r="S148" s="6"/>
    </row>
    <row r="149" spans="1:19" ht="14.25" customHeight="1" x14ac:dyDescent="0.15">
      <c r="A149" s="170" t="s">
        <v>107</v>
      </c>
      <c r="B149" s="171"/>
      <c r="C149" s="181"/>
      <c r="D149" s="181"/>
      <c r="E149" s="181"/>
      <c r="F149" s="181"/>
      <c r="G149" s="181"/>
      <c r="H149" s="181"/>
      <c r="I149" s="181"/>
      <c r="J149" s="182"/>
      <c r="K149" s="180"/>
      <c r="L149" s="181"/>
      <c r="M149" s="181"/>
      <c r="N149" s="181"/>
      <c r="O149" s="182"/>
      <c r="P149" s="14"/>
      <c r="Q149" s="6"/>
      <c r="R149" s="6"/>
      <c r="S149" s="6"/>
    </row>
    <row r="150" spans="1:19" ht="14.25" customHeight="1" x14ac:dyDescent="0.15">
      <c r="A150" s="194" t="s">
        <v>84</v>
      </c>
      <c r="B150" s="171"/>
      <c r="C150" s="172">
        <v>333</v>
      </c>
      <c r="D150" s="172"/>
      <c r="E150" s="173" t="s">
        <v>85</v>
      </c>
      <c r="F150" s="174"/>
      <c r="G150" s="179">
        <v>565.25</v>
      </c>
      <c r="H150" s="179"/>
      <c r="I150" s="176">
        <v>187946</v>
      </c>
      <c r="J150" s="177"/>
      <c r="K150" s="170" t="s">
        <v>106</v>
      </c>
      <c r="L150" s="171"/>
      <c r="M150" s="171"/>
      <c r="N150" s="171"/>
      <c r="O150" s="195"/>
      <c r="P150" s="14"/>
      <c r="Q150" s="6"/>
      <c r="R150" s="6"/>
      <c r="S150" s="6"/>
    </row>
    <row r="151" spans="1:19" ht="14.25" customHeight="1" x14ac:dyDescent="0.15">
      <c r="A151" s="279" t="s">
        <v>86</v>
      </c>
      <c r="B151" s="184"/>
      <c r="C151" s="201">
        <v>333</v>
      </c>
      <c r="D151" s="201"/>
      <c r="E151" s="186" t="s">
        <v>85</v>
      </c>
      <c r="F151" s="187"/>
      <c r="G151" s="188">
        <v>49.98</v>
      </c>
      <c r="H151" s="188"/>
      <c r="I151" s="189">
        <v>16618</v>
      </c>
      <c r="J151" s="190"/>
      <c r="K151" s="191"/>
      <c r="L151" s="192"/>
      <c r="M151" s="192"/>
      <c r="N151" s="192"/>
      <c r="O151" s="193"/>
      <c r="P151" s="14"/>
      <c r="Q151" s="6"/>
      <c r="R151" s="6"/>
      <c r="S151" s="6"/>
    </row>
    <row r="152" spans="1:19" ht="14.25" customHeight="1" x14ac:dyDescent="0.15">
      <c r="A152" s="128"/>
      <c r="B152" s="129"/>
      <c r="C152" s="129"/>
      <c r="D152" s="129"/>
      <c r="E152" s="129"/>
      <c r="F152" s="129"/>
      <c r="G152" s="129"/>
      <c r="H152" s="129"/>
      <c r="I152" s="129"/>
      <c r="J152" s="130"/>
      <c r="K152" s="128"/>
      <c r="L152" s="129"/>
      <c r="M152" s="129"/>
      <c r="N152" s="129"/>
      <c r="O152" s="130"/>
      <c r="P152" s="14"/>
      <c r="Q152" s="6"/>
      <c r="R152" s="6"/>
      <c r="S152" s="6"/>
    </row>
    <row r="153" spans="1:19" ht="14.25" customHeight="1" x14ac:dyDescent="0.15">
      <c r="A153" s="131" t="s">
        <v>108</v>
      </c>
      <c r="B153" s="132"/>
      <c r="C153" s="152"/>
      <c r="D153" s="152"/>
      <c r="E153" s="152"/>
      <c r="F153" s="152"/>
      <c r="G153" s="152"/>
      <c r="H153" s="152"/>
      <c r="I153" s="153">
        <v>717000</v>
      </c>
      <c r="J153" s="154"/>
      <c r="K153" s="155">
        <v>954000</v>
      </c>
      <c r="L153" s="153"/>
      <c r="M153" s="153"/>
      <c r="N153" s="153"/>
      <c r="O153" s="154"/>
      <c r="P153" s="14"/>
      <c r="Q153" s="6"/>
      <c r="R153" s="6"/>
      <c r="S153" s="6"/>
    </row>
    <row r="154" spans="1:19" ht="56.25" customHeight="1" x14ac:dyDescent="0.15">
      <c r="A154" s="137" t="s">
        <v>109</v>
      </c>
      <c r="B154" s="138"/>
      <c r="C154" s="280" t="s">
        <v>110</v>
      </c>
      <c r="D154" s="281"/>
      <c r="E154" s="232" t="s">
        <v>78</v>
      </c>
      <c r="F154" s="233"/>
      <c r="G154" s="230" t="s">
        <v>111</v>
      </c>
      <c r="H154" s="138"/>
      <c r="I154" s="230" t="s">
        <v>112</v>
      </c>
      <c r="J154" s="139"/>
      <c r="K154" s="234"/>
      <c r="L154" s="138"/>
      <c r="M154" s="138"/>
      <c r="N154" s="138"/>
      <c r="O154" s="139"/>
      <c r="P154" s="14"/>
      <c r="Q154" s="6"/>
      <c r="R154" s="6"/>
      <c r="S154" s="6"/>
    </row>
    <row r="155" spans="1:19" ht="14.25" customHeight="1" x14ac:dyDescent="0.15">
      <c r="A155" s="128"/>
      <c r="B155" s="129"/>
      <c r="C155" s="129"/>
      <c r="D155" s="129"/>
      <c r="E155" s="129"/>
      <c r="F155" s="129"/>
      <c r="G155" s="129"/>
      <c r="H155" s="129"/>
      <c r="I155" s="129"/>
      <c r="J155" s="130"/>
      <c r="K155" s="128"/>
      <c r="L155" s="129"/>
      <c r="M155" s="129"/>
      <c r="N155" s="129"/>
      <c r="O155" s="130"/>
      <c r="P155" s="14"/>
      <c r="Q155" s="6"/>
      <c r="R155" s="6"/>
      <c r="S155" s="6"/>
    </row>
    <row r="156" spans="1:19" ht="14.25" customHeight="1" x14ac:dyDescent="0.15">
      <c r="A156" s="131" t="s">
        <v>113</v>
      </c>
      <c r="B156" s="132"/>
      <c r="C156" s="152"/>
      <c r="D156" s="152"/>
      <c r="E156" s="152"/>
      <c r="F156" s="152"/>
      <c r="G156" s="152"/>
      <c r="H156" s="152"/>
      <c r="I156" s="226" t="s">
        <v>114</v>
      </c>
      <c r="J156" s="133"/>
      <c r="K156" s="131" t="s">
        <v>115</v>
      </c>
      <c r="L156" s="132"/>
      <c r="M156" s="132"/>
      <c r="N156" s="132"/>
      <c r="O156" s="133"/>
      <c r="P156" s="14"/>
      <c r="Q156" s="6"/>
      <c r="R156" s="6"/>
      <c r="S156" s="6"/>
    </row>
    <row r="157" spans="1:19" ht="14.25" customHeight="1" x14ac:dyDescent="0.15">
      <c r="A157" s="227" t="s">
        <v>116</v>
      </c>
      <c r="B157" s="228"/>
      <c r="C157" s="228"/>
      <c r="D157" s="228"/>
      <c r="E157" s="228"/>
      <c r="F157" s="228"/>
      <c r="G157" s="228"/>
      <c r="H157" s="228"/>
      <c r="I157" s="228"/>
      <c r="J157" s="229"/>
      <c r="K157" s="149"/>
      <c r="L157" s="150"/>
      <c r="M157" s="150"/>
      <c r="N157" s="150"/>
      <c r="O157" s="151"/>
      <c r="P157" s="14"/>
      <c r="Q157" s="6"/>
      <c r="R157" s="6"/>
      <c r="S157" s="6"/>
    </row>
    <row r="158" spans="1:19" ht="14.25" customHeight="1" x14ac:dyDescent="0.15">
      <c r="A158" s="128"/>
      <c r="B158" s="129"/>
      <c r="C158" s="129"/>
      <c r="D158" s="129"/>
      <c r="E158" s="129"/>
      <c r="F158" s="129"/>
      <c r="G158" s="129"/>
      <c r="H158" s="129"/>
      <c r="I158" s="129"/>
      <c r="J158" s="130"/>
      <c r="K158" s="128"/>
      <c r="L158" s="129"/>
      <c r="M158" s="129"/>
      <c r="N158" s="129"/>
      <c r="O158" s="130"/>
      <c r="P158" s="14"/>
      <c r="Q158" s="6"/>
      <c r="R158" s="6"/>
      <c r="S158" s="6"/>
    </row>
    <row r="159" spans="1:19" ht="14.25" customHeight="1" x14ac:dyDescent="0.15">
      <c r="A159" s="131" t="s">
        <v>117</v>
      </c>
      <c r="B159" s="132"/>
      <c r="C159" s="152"/>
      <c r="D159" s="152"/>
      <c r="E159" s="152"/>
      <c r="F159" s="152"/>
      <c r="G159" s="152"/>
      <c r="H159" s="152"/>
      <c r="I159" s="153">
        <v>1788000</v>
      </c>
      <c r="J159" s="154"/>
      <c r="K159" s="155">
        <v>2379000</v>
      </c>
      <c r="L159" s="153"/>
      <c r="M159" s="153"/>
      <c r="N159" s="153"/>
      <c r="O159" s="154"/>
      <c r="P159" s="14"/>
      <c r="Q159" s="6"/>
      <c r="R159" s="6"/>
      <c r="S159" s="6"/>
    </row>
    <row r="160" spans="1:19" ht="15" customHeight="1" x14ac:dyDescent="0.15">
      <c r="A160" s="156" t="s">
        <v>118</v>
      </c>
      <c r="B160" s="157"/>
      <c r="C160" s="158">
        <v>40</v>
      </c>
      <c r="D160" s="158"/>
      <c r="E160" s="159" t="s">
        <v>83</v>
      </c>
      <c r="F160" s="160"/>
      <c r="G160" s="161">
        <v>9000</v>
      </c>
      <c r="H160" s="161"/>
      <c r="I160" s="162">
        <v>360000</v>
      </c>
      <c r="J160" s="163"/>
      <c r="K160" s="206"/>
      <c r="L160" s="207"/>
      <c r="M160" s="207"/>
      <c r="N160" s="207"/>
      <c r="O160" s="208"/>
      <c r="P160" s="14"/>
      <c r="Q160" s="6"/>
      <c r="R160" s="6"/>
      <c r="S160" s="6"/>
    </row>
    <row r="161" spans="1:19" ht="14.25" customHeight="1" x14ac:dyDescent="0.15">
      <c r="A161" s="170" t="s">
        <v>119</v>
      </c>
      <c r="B161" s="171"/>
      <c r="C161" s="178">
        <v>9200</v>
      </c>
      <c r="D161" s="178"/>
      <c r="E161" s="173" t="s">
        <v>85</v>
      </c>
      <c r="F161" s="174"/>
      <c r="G161" s="179">
        <v>35.700000000000003</v>
      </c>
      <c r="H161" s="179"/>
      <c r="I161" s="176">
        <v>329000</v>
      </c>
      <c r="J161" s="177"/>
      <c r="K161" s="209"/>
      <c r="L161" s="210"/>
      <c r="M161" s="210"/>
      <c r="N161" s="210"/>
      <c r="O161" s="211"/>
      <c r="P161" s="14"/>
      <c r="Q161" s="6"/>
      <c r="R161" s="6"/>
      <c r="S161" s="6"/>
    </row>
    <row r="162" spans="1:19" ht="14.25" customHeight="1" x14ac:dyDescent="0.15">
      <c r="A162" s="170" t="s">
        <v>120</v>
      </c>
      <c r="B162" s="171"/>
      <c r="C162" s="178">
        <v>3700</v>
      </c>
      <c r="D162" s="178"/>
      <c r="E162" s="173" t="s">
        <v>85</v>
      </c>
      <c r="F162" s="174"/>
      <c r="G162" s="179">
        <v>23.8</v>
      </c>
      <c r="H162" s="179"/>
      <c r="I162" s="176">
        <v>89000</v>
      </c>
      <c r="J162" s="177"/>
      <c r="K162" s="209"/>
      <c r="L162" s="210"/>
      <c r="M162" s="210"/>
      <c r="N162" s="210"/>
      <c r="O162" s="211"/>
      <c r="P162" s="14"/>
      <c r="Q162" s="6"/>
      <c r="R162" s="6"/>
      <c r="S162" s="6"/>
    </row>
    <row r="163" spans="1:19" ht="14.25" customHeight="1" x14ac:dyDescent="0.15">
      <c r="A163" s="170" t="s">
        <v>121</v>
      </c>
      <c r="B163" s="171"/>
      <c r="C163" s="172">
        <v>310</v>
      </c>
      <c r="D163" s="172"/>
      <c r="E163" s="173" t="s">
        <v>122</v>
      </c>
      <c r="F163" s="174"/>
      <c r="G163" s="179">
        <v>400</v>
      </c>
      <c r="H163" s="179"/>
      <c r="I163" s="176">
        <v>124000</v>
      </c>
      <c r="J163" s="177"/>
      <c r="K163" s="209"/>
      <c r="L163" s="210"/>
      <c r="M163" s="210"/>
      <c r="N163" s="210"/>
      <c r="O163" s="211"/>
      <c r="P163" s="14"/>
      <c r="Q163" s="6"/>
      <c r="R163" s="6"/>
      <c r="S163" s="6"/>
    </row>
    <row r="164" spans="1:19" ht="14.25" customHeight="1" x14ac:dyDescent="0.15">
      <c r="A164" s="170" t="s">
        <v>123</v>
      </c>
      <c r="B164" s="171"/>
      <c r="C164" s="172">
        <v>1</v>
      </c>
      <c r="D164" s="172"/>
      <c r="E164" s="173" t="s">
        <v>124</v>
      </c>
      <c r="F164" s="174"/>
      <c r="G164" s="175">
        <v>500000</v>
      </c>
      <c r="H164" s="175"/>
      <c r="I164" s="176">
        <v>500000</v>
      </c>
      <c r="J164" s="177"/>
      <c r="K164" s="209"/>
      <c r="L164" s="210"/>
      <c r="M164" s="210"/>
      <c r="N164" s="210"/>
      <c r="O164" s="211"/>
      <c r="P164" s="14"/>
      <c r="Q164" s="6"/>
      <c r="R164" s="6"/>
      <c r="S164" s="6"/>
    </row>
    <row r="165" spans="1:19" ht="13.75" customHeight="1" x14ac:dyDescent="0.15">
      <c r="A165" s="170" t="s">
        <v>125</v>
      </c>
      <c r="B165" s="171"/>
      <c r="C165" s="172">
        <v>1</v>
      </c>
      <c r="D165" s="172"/>
      <c r="E165" s="173" t="s">
        <v>83</v>
      </c>
      <c r="F165" s="174"/>
      <c r="G165" s="175">
        <v>33915</v>
      </c>
      <c r="H165" s="175"/>
      <c r="I165" s="176">
        <v>34000</v>
      </c>
      <c r="J165" s="177"/>
      <c r="K165" s="209"/>
      <c r="L165" s="210"/>
      <c r="M165" s="210"/>
      <c r="N165" s="210"/>
      <c r="O165" s="211"/>
      <c r="P165" s="14"/>
      <c r="Q165" s="6"/>
      <c r="R165" s="6"/>
      <c r="S165" s="6"/>
    </row>
    <row r="166" spans="1:19" ht="15" customHeight="1" x14ac:dyDescent="0.15">
      <c r="A166" s="170" t="s">
        <v>126</v>
      </c>
      <c r="B166" s="171"/>
      <c r="C166" s="172">
        <v>100</v>
      </c>
      <c r="D166" s="172"/>
      <c r="E166" s="173" t="s">
        <v>122</v>
      </c>
      <c r="F166" s="174"/>
      <c r="G166" s="179">
        <v>351.05</v>
      </c>
      <c r="H166" s="179"/>
      <c r="I166" s="176">
        <v>36000</v>
      </c>
      <c r="J166" s="177"/>
      <c r="K166" s="180"/>
      <c r="L166" s="181"/>
      <c r="M166" s="181"/>
      <c r="N166" s="181"/>
      <c r="O166" s="182"/>
      <c r="P166" s="14"/>
      <c r="Q166" s="6"/>
      <c r="R166" s="6"/>
      <c r="S166" s="6"/>
    </row>
    <row r="167" spans="1:19" ht="14.25" customHeight="1" x14ac:dyDescent="0.15">
      <c r="A167" s="170" t="s">
        <v>127</v>
      </c>
      <c r="B167" s="171"/>
      <c r="C167" s="172">
        <v>1</v>
      </c>
      <c r="D167" s="172"/>
      <c r="E167" s="173" t="s">
        <v>83</v>
      </c>
      <c r="F167" s="174"/>
      <c r="G167" s="175">
        <v>56525</v>
      </c>
      <c r="H167" s="175"/>
      <c r="I167" s="176">
        <v>57000</v>
      </c>
      <c r="J167" s="177"/>
      <c r="K167" s="180"/>
      <c r="L167" s="181"/>
      <c r="M167" s="181"/>
      <c r="N167" s="181"/>
      <c r="O167" s="182"/>
      <c r="P167" s="14"/>
      <c r="Q167" s="6"/>
      <c r="R167" s="6"/>
      <c r="S167" s="6"/>
    </row>
    <row r="168" spans="1:19" ht="14.25" customHeight="1" x14ac:dyDescent="0.15">
      <c r="A168" s="170" t="s">
        <v>128</v>
      </c>
      <c r="B168" s="171"/>
      <c r="C168" s="172">
        <v>1</v>
      </c>
      <c r="D168" s="172"/>
      <c r="E168" s="173" t="s">
        <v>124</v>
      </c>
      <c r="F168" s="174"/>
      <c r="G168" s="175">
        <v>59500</v>
      </c>
      <c r="H168" s="175"/>
      <c r="I168" s="176">
        <v>60000</v>
      </c>
      <c r="J168" s="177"/>
      <c r="K168" s="180"/>
      <c r="L168" s="181"/>
      <c r="M168" s="181"/>
      <c r="N168" s="181"/>
      <c r="O168" s="182"/>
      <c r="P168" s="14"/>
      <c r="Q168" s="6"/>
      <c r="R168" s="6"/>
      <c r="S168" s="6"/>
    </row>
    <row r="169" spans="1:19" ht="14.25" customHeight="1" x14ac:dyDescent="0.15">
      <c r="A169" s="170" t="s">
        <v>129</v>
      </c>
      <c r="B169" s="171"/>
      <c r="C169" s="172">
        <v>41</v>
      </c>
      <c r="D169" s="172"/>
      <c r="E169" s="173" t="s">
        <v>83</v>
      </c>
      <c r="F169" s="174"/>
      <c r="G169" s="179">
        <v>892.5</v>
      </c>
      <c r="H169" s="179"/>
      <c r="I169" s="176">
        <v>37000</v>
      </c>
      <c r="J169" s="177"/>
      <c r="K169" s="180"/>
      <c r="L169" s="181"/>
      <c r="M169" s="181"/>
      <c r="N169" s="181"/>
      <c r="O169" s="182"/>
      <c r="P169" s="14"/>
      <c r="Q169" s="6"/>
      <c r="R169" s="6"/>
      <c r="S169" s="6"/>
    </row>
    <row r="170" spans="1:19" ht="14.25" customHeight="1" x14ac:dyDescent="0.15">
      <c r="A170" s="170" t="s">
        <v>130</v>
      </c>
      <c r="B170" s="171"/>
      <c r="C170" s="172">
        <v>1</v>
      </c>
      <c r="D170" s="172"/>
      <c r="E170" s="173" t="s">
        <v>124</v>
      </c>
      <c r="F170" s="174"/>
      <c r="G170" s="175">
        <v>23800</v>
      </c>
      <c r="H170" s="175"/>
      <c r="I170" s="176">
        <v>24000</v>
      </c>
      <c r="J170" s="177"/>
      <c r="K170" s="180"/>
      <c r="L170" s="181"/>
      <c r="M170" s="181"/>
      <c r="N170" s="181"/>
      <c r="O170" s="182"/>
      <c r="P170" s="14"/>
      <c r="Q170" s="6"/>
      <c r="R170" s="6"/>
      <c r="S170" s="6"/>
    </row>
    <row r="171" spans="1:19" ht="14.25" customHeight="1" x14ac:dyDescent="0.15">
      <c r="A171" s="170" t="s">
        <v>131</v>
      </c>
      <c r="B171" s="171"/>
      <c r="C171" s="172">
        <v>400</v>
      </c>
      <c r="D171" s="172"/>
      <c r="E171" s="173" t="s">
        <v>122</v>
      </c>
      <c r="F171" s="174"/>
      <c r="G171" s="179">
        <v>95</v>
      </c>
      <c r="H171" s="179"/>
      <c r="I171" s="176">
        <v>38000</v>
      </c>
      <c r="J171" s="177"/>
      <c r="K171" s="170" t="s">
        <v>132</v>
      </c>
      <c r="L171" s="171"/>
      <c r="M171" s="171"/>
      <c r="N171" s="171"/>
      <c r="O171" s="195"/>
      <c r="P171" s="14"/>
      <c r="Q171" s="6"/>
      <c r="R171" s="6"/>
      <c r="S171" s="6"/>
    </row>
    <row r="172" spans="1:19" ht="14.25" customHeight="1" x14ac:dyDescent="0.15">
      <c r="A172" s="183" t="s">
        <v>133</v>
      </c>
      <c r="B172" s="184"/>
      <c r="C172" s="201">
        <v>1</v>
      </c>
      <c r="D172" s="201"/>
      <c r="E172" s="186" t="s">
        <v>124</v>
      </c>
      <c r="F172" s="187"/>
      <c r="G172" s="202">
        <v>100000</v>
      </c>
      <c r="H172" s="202"/>
      <c r="I172" s="189">
        <v>100000</v>
      </c>
      <c r="J172" s="190"/>
      <c r="K172" s="191"/>
      <c r="L172" s="192"/>
      <c r="M172" s="192"/>
      <c r="N172" s="192"/>
      <c r="O172" s="193"/>
      <c r="P172" s="14"/>
      <c r="Q172" s="6"/>
      <c r="R172" s="6"/>
      <c r="S172" s="6"/>
    </row>
    <row r="173" spans="1:19" ht="14.25" customHeight="1" x14ac:dyDescent="0.15">
      <c r="A173" s="128"/>
      <c r="B173" s="129"/>
      <c r="C173" s="129"/>
      <c r="D173" s="129"/>
      <c r="E173" s="129"/>
      <c r="F173" s="129"/>
      <c r="G173" s="129"/>
      <c r="H173" s="129"/>
      <c r="I173" s="129"/>
      <c r="J173" s="130"/>
      <c r="K173" s="128"/>
      <c r="L173" s="129"/>
      <c r="M173" s="129"/>
      <c r="N173" s="129"/>
      <c r="O173" s="130"/>
      <c r="P173" s="14"/>
      <c r="Q173" s="6"/>
      <c r="R173" s="6"/>
      <c r="S173" s="6"/>
    </row>
    <row r="174" spans="1:19" ht="14.25" customHeight="1" x14ac:dyDescent="0.15">
      <c r="A174" s="131" t="s">
        <v>134</v>
      </c>
      <c r="B174" s="132"/>
      <c r="C174" s="152"/>
      <c r="D174" s="152"/>
      <c r="E174" s="152"/>
      <c r="F174" s="152"/>
      <c r="G174" s="152"/>
      <c r="H174" s="152"/>
      <c r="I174" s="153">
        <v>686000</v>
      </c>
      <c r="J174" s="154"/>
      <c r="K174" s="155">
        <v>913000</v>
      </c>
      <c r="L174" s="153"/>
      <c r="M174" s="153"/>
      <c r="N174" s="153"/>
      <c r="O174" s="154"/>
      <c r="P174" s="14"/>
      <c r="Q174" s="6"/>
      <c r="R174" s="6"/>
      <c r="S174" s="6"/>
    </row>
    <row r="175" spans="1:19" ht="14.25" customHeight="1" x14ac:dyDescent="0.15">
      <c r="A175" s="156" t="s">
        <v>135</v>
      </c>
      <c r="B175" s="157"/>
      <c r="C175" s="203">
        <v>6400</v>
      </c>
      <c r="D175" s="203"/>
      <c r="E175" s="159" t="s">
        <v>85</v>
      </c>
      <c r="F175" s="160"/>
      <c r="G175" s="204">
        <v>14.88</v>
      </c>
      <c r="H175" s="204"/>
      <c r="I175" s="162">
        <v>95200</v>
      </c>
      <c r="J175" s="163"/>
      <c r="K175" s="156" t="s">
        <v>136</v>
      </c>
      <c r="L175" s="157"/>
      <c r="M175" s="157"/>
      <c r="N175" s="157"/>
      <c r="O175" s="205"/>
      <c r="P175" s="14"/>
      <c r="Q175" s="6"/>
      <c r="R175" s="6"/>
      <c r="S175" s="6"/>
    </row>
    <row r="176" spans="1:19" ht="14.25" customHeight="1" x14ac:dyDescent="0.15">
      <c r="A176" s="183" t="s">
        <v>137</v>
      </c>
      <c r="B176" s="184"/>
      <c r="C176" s="185">
        <v>18000</v>
      </c>
      <c r="D176" s="185"/>
      <c r="E176" s="186" t="s">
        <v>85</v>
      </c>
      <c r="F176" s="187"/>
      <c r="G176" s="188">
        <v>32.729999999999997</v>
      </c>
      <c r="H176" s="188"/>
      <c r="I176" s="189">
        <v>590000</v>
      </c>
      <c r="J176" s="190"/>
      <c r="K176" s="183" t="s">
        <v>138</v>
      </c>
      <c r="L176" s="184"/>
      <c r="M176" s="184"/>
      <c r="N176" s="184"/>
      <c r="O176" s="197"/>
      <c r="P176" s="14"/>
      <c r="Q176" s="6"/>
      <c r="R176" s="6"/>
      <c r="S176" s="6"/>
    </row>
    <row r="177" spans="1:19" ht="14.25" customHeight="1" x14ac:dyDescent="0.15">
      <c r="A177" s="128"/>
      <c r="B177" s="129"/>
      <c r="C177" s="129"/>
      <c r="D177" s="129"/>
      <c r="E177" s="129"/>
      <c r="F177" s="129"/>
      <c r="G177" s="129"/>
      <c r="H177" s="129"/>
      <c r="I177" s="129"/>
      <c r="J177" s="130"/>
      <c r="K177" s="128"/>
      <c r="L177" s="129"/>
      <c r="M177" s="129"/>
      <c r="N177" s="129"/>
      <c r="O177" s="130"/>
      <c r="P177" s="14"/>
      <c r="Q177" s="6"/>
      <c r="R177" s="6"/>
      <c r="S177" s="6"/>
    </row>
    <row r="178" spans="1:19" ht="14.25" customHeight="1" x14ac:dyDescent="0.15">
      <c r="A178" s="131" t="s">
        <v>139</v>
      </c>
      <c r="B178" s="132"/>
      <c r="C178" s="152"/>
      <c r="D178" s="152"/>
      <c r="E178" s="152"/>
      <c r="F178" s="152"/>
      <c r="G178" s="152"/>
      <c r="H178" s="152"/>
      <c r="I178" s="153">
        <v>5461000</v>
      </c>
      <c r="J178" s="154"/>
      <c r="K178" s="155">
        <v>7264000</v>
      </c>
      <c r="L178" s="153"/>
      <c r="M178" s="153"/>
      <c r="N178" s="153"/>
      <c r="O178" s="154"/>
      <c r="P178" s="14"/>
      <c r="Q178" s="6"/>
      <c r="R178" s="6"/>
      <c r="S178" s="6"/>
    </row>
    <row r="179" spans="1:19" ht="28" customHeight="1" x14ac:dyDescent="0.15">
      <c r="A179" s="218" t="s">
        <v>140</v>
      </c>
      <c r="B179" s="207"/>
      <c r="C179" s="287">
        <v>2400</v>
      </c>
      <c r="D179" s="287"/>
      <c r="E179" s="288" t="s">
        <v>85</v>
      </c>
      <c r="F179" s="289"/>
      <c r="G179" s="290">
        <v>27.37</v>
      </c>
      <c r="H179" s="290"/>
      <c r="I179" s="311">
        <v>66000</v>
      </c>
      <c r="J179" s="312"/>
      <c r="K179" s="164"/>
      <c r="L179" s="165"/>
      <c r="M179" s="165"/>
      <c r="N179" s="165"/>
      <c r="O179" s="166"/>
      <c r="P179" s="14"/>
      <c r="Q179" s="6"/>
      <c r="R179" s="6"/>
      <c r="S179" s="6"/>
    </row>
    <row r="180" spans="1:19" ht="14.25" customHeight="1" x14ac:dyDescent="0.15">
      <c r="A180" s="209"/>
      <c r="B180" s="210"/>
      <c r="C180" s="172">
        <v>2</v>
      </c>
      <c r="D180" s="172"/>
      <c r="E180" s="173" t="s">
        <v>83</v>
      </c>
      <c r="F180" s="174"/>
      <c r="G180" s="175">
        <v>142800</v>
      </c>
      <c r="H180" s="175"/>
      <c r="I180" s="176">
        <v>286000</v>
      </c>
      <c r="J180" s="177"/>
      <c r="K180" s="180"/>
      <c r="L180" s="181"/>
      <c r="M180" s="181"/>
      <c r="N180" s="181"/>
      <c r="O180" s="182"/>
      <c r="P180" s="14"/>
      <c r="Q180" s="6"/>
      <c r="R180" s="6"/>
      <c r="S180" s="6"/>
    </row>
    <row r="181" spans="1:19" ht="14.25" customHeight="1" x14ac:dyDescent="0.15">
      <c r="A181" s="209"/>
      <c r="B181" s="210"/>
      <c r="C181" s="178">
        <v>1200</v>
      </c>
      <c r="D181" s="178"/>
      <c r="E181" s="173" t="s">
        <v>85</v>
      </c>
      <c r="F181" s="174"/>
      <c r="G181" s="179">
        <v>220.15</v>
      </c>
      <c r="H181" s="179"/>
      <c r="I181" s="176">
        <v>265000</v>
      </c>
      <c r="J181" s="177"/>
      <c r="K181" s="180"/>
      <c r="L181" s="181"/>
      <c r="M181" s="181"/>
      <c r="N181" s="181"/>
      <c r="O181" s="182"/>
      <c r="P181" s="14"/>
      <c r="Q181" s="6"/>
      <c r="R181" s="6"/>
      <c r="S181" s="6"/>
    </row>
    <row r="182" spans="1:19" ht="14.25" customHeight="1" x14ac:dyDescent="0.15">
      <c r="A182" s="209"/>
      <c r="B182" s="210"/>
      <c r="C182" s="172">
        <v>145</v>
      </c>
      <c r="D182" s="172"/>
      <c r="E182" s="173" t="s">
        <v>122</v>
      </c>
      <c r="F182" s="174"/>
      <c r="G182" s="179">
        <v>297.5</v>
      </c>
      <c r="H182" s="179"/>
      <c r="I182" s="176">
        <v>44000</v>
      </c>
      <c r="J182" s="177"/>
      <c r="K182" s="180"/>
      <c r="L182" s="181"/>
      <c r="M182" s="181"/>
      <c r="N182" s="181"/>
      <c r="O182" s="182"/>
      <c r="P182" s="14"/>
      <c r="Q182" s="6"/>
      <c r="R182" s="6"/>
      <c r="S182" s="6"/>
    </row>
    <row r="183" spans="1:19" ht="14.25" customHeight="1" x14ac:dyDescent="0.15">
      <c r="A183" s="209"/>
      <c r="B183" s="210"/>
      <c r="C183" s="181"/>
      <c r="D183" s="181"/>
      <c r="E183" s="173" t="s">
        <v>85</v>
      </c>
      <c r="F183" s="174"/>
      <c r="G183" s="179">
        <v>14.88</v>
      </c>
      <c r="H183" s="179"/>
      <c r="I183" s="196" t="s">
        <v>141</v>
      </c>
      <c r="J183" s="195"/>
      <c r="K183" s="180"/>
      <c r="L183" s="181"/>
      <c r="M183" s="181"/>
      <c r="N183" s="181"/>
      <c r="O183" s="182"/>
      <c r="P183" s="14"/>
      <c r="Q183" s="6"/>
      <c r="R183" s="6"/>
      <c r="S183" s="6"/>
    </row>
    <row r="184" spans="1:19" ht="22" customHeight="1" x14ac:dyDescent="0.15">
      <c r="A184" s="209"/>
      <c r="B184" s="210"/>
      <c r="C184" s="178">
        <v>12600</v>
      </c>
      <c r="D184" s="178"/>
      <c r="E184" s="173" t="s">
        <v>85</v>
      </c>
      <c r="F184" s="174"/>
      <c r="G184" s="179">
        <v>23.8</v>
      </c>
      <c r="H184" s="179"/>
      <c r="I184" s="176">
        <v>299880</v>
      </c>
      <c r="J184" s="177"/>
      <c r="K184" s="167"/>
      <c r="L184" s="168"/>
      <c r="M184" s="168"/>
      <c r="N184" s="168"/>
      <c r="O184" s="169"/>
      <c r="P184" s="14"/>
      <c r="Q184" s="6"/>
      <c r="R184" s="6"/>
      <c r="S184" s="6"/>
    </row>
    <row r="185" spans="1:19" ht="21" customHeight="1" x14ac:dyDescent="0.15">
      <c r="A185" s="209"/>
      <c r="B185" s="210"/>
      <c r="C185" s="178">
        <v>1200</v>
      </c>
      <c r="D185" s="178"/>
      <c r="E185" s="173" t="s">
        <v>85</v>
      </c>
      <c r="F185" s="174"/>
      <c r="G185" s="179">
        <v>27.37</v>
      </c>
      <c r="H185" s="179"/>
      <c r="I185" s="176">
        <v>33000</v>
      </c>
      <c r="J185" s="177"/>
      <c r="K185" s="167"/>
      <c r="L185" s="168"/>
      <c r="M185" s="168"/>
      <c r="N185" s="168"/>
      <c r="O185" s="169"/>
      <c r="P185" s="14"/>
      <c r="Q185" s="6"/>
      <c r="R185" s="6"/>
      <c r="S185" s="6"/>
    </row>
    <row r="186" spans="1:19" ht="14.25" customHeight="1" x14ac:dyDescent="0.15">
      <c r="A186" s="209"/>
      <c r="B186" s="210"/>
      <c r="C186" s="172">
        <v>1</v>
      </c>
      <c r="D186" s="172"/>
      <c r="E186" s="173" t="s">
        <v>83</v>
      </c>
      <c r="F186" s="174"/>
      <c r="G186" s="175">
        <v>142800</v>
      </c>
      <c r="H186" s="175"/>
      <c r="I186" s="176">
        <v>143000</v>
      </c>
      <c r="J186" s="177"/>
      <c r="K186" s="180"/>
      <c r="L186" s="181"/>
      <c r="M186" s="181"/>
      <c r="N186" s="181"/>
      <c r="O186" s="182"/>
      <c r="P186" s="14"/>
      <c r="Q186" s="6"/>
      <c r="R186" s="6"/>
      <c r="S186" s="6"/>
    </row>
    <row r="187" spans="1:19" ht="14.25" customHeight="1" x14ac:dyDescent="0.15">
      <c r="A187" s="209"/>
      <c r="B187" s="210"/>
      <c r="C187" s="178">
        <v>1200</v>
      </c>
      <c r="D187" s="178"/>
      <c r="E187" s="173" t="s">
        <v>85</v>
      </c>
      <c r="F187" s="174"/>
      <c r="G187" s="179">
        <v>220.15</v>
      </c>
      <c r="H187" s="179"/>
      <c r="I187" s="176">
        <v>265000</v>
      </c>
      <c r="J187" s="177"/>
      <c r="K187" s="180"/>
      <c r="L187" s="181"/>
      <c r="M187" s="181"/>
      <c r="N187" s="181"/>
      <c r="O187" s="182"/>
      <c r="P187" s="14"/>
      <c r="Q187" s="6"/>
      <c r="R187" s="6"/>
      <c r="S187" s="6"/>
    </row>
    <row r="188" spans="1:19" ht="14.25" customHeight="1" x14ac:dyDescent="0.15">
      <c r="A188" s="209"/>
      <c r="B188" s="210"/>
      <c r="C188" s="172">
        <v>300</v>
      </c>
      <c r="D188" s="172"/>
      <c r="E188" s="173" t="s">
        <v>122</v>
      </c>
      <c r="F188" s="174"/>
      <c r="G188" s="179">
        <v>297.5</v>
      </c>
      <c r="H188" s="179"/>
      <c r="I188" s="176">
        <v>90000</v>
      </c>
      <c r="J188" s="177"/>
      <c r="K188" s="180"/>
      <c r="L188" s="181"/>
      <c r="M188" s="181"/>
      <c r="N188" s="181"/>
      <c r="O188" s="182"/>
      <c r="P188" s="14"/>
      <c r="Q188" s="6"/>
      <c r="R188" s="6"/>
      <c r="S188" s="6"/>
    </row>
    <row r="189" spans="1:19" ht="21" customHeight="1" x14ac:dyDescent="0.15">
      <c r="A189" s="209"/>
      <c r="B189" s="210"/>
      <c r="C189" s="178">
        <v>8800</v>
      </c>
      <c r="D189" s="178"/>
      <c r="E189" s="173" t="s">
        <v>85</v>
      </c>
      <c r="F189" s="174"/>
      <c r="G189" s="179">
        <v>23.8</v>
      </c>
      <c r="H189" s="179"/>
      <c r="I189" s="176">
        <v>209440</v>
      </c>
      <c r="J189" s="177"/>
      <c r="K189" s="167"/>
      <c r="L189" s="168"/>
      <c r="M189" s="168"/>
      <c r="N189" s="168"/>
      <c r="O189" s="169"/>
      <c r="P189" s="14"/>
      <c r="Q189" s="6"/>
      <c r="R189" s="6"/>
      <c r="S189" s="6"/>
    </row>
    <row r="190" spans="1:19" ht="21" customHeight="1" x14ac:dyDescent="0.15">
      <c r="A190" s="209"/>
      <c r="B190" s="210"/>
      <c r="C190" s="178">
        <v>8500</v>
      </c>
      <c r="D190" s="178"/>
      <c r="E190" s="173" t="s">
        <v>85</v>
      </c>
      <c r="F190" s="174"/>
      <c r="G190" s="179">
        <v>27.37</v>
      </c>
      <c r="H190" s="179"/>
      <c r="I190" s="176">
        <v>233000</v>
      </c>
      <c r="J190" s="177"/>
      <c r="K190" s="167"/>
      <c r="L190" s="168"/>
      <c r="M190" s="168"/>
      <c r="N190" s="168"/>
      <c r="O190" s="169"/>
      <c r="P190" s="14"/>
      <c r="Q190" s="6"/>
      <c r="R190" s="6"/>
      <c r="S190" s="6"/>
    </row>
    <row r="191" spans="1:19" ht="14.25" customHeight="1" x14ac:dyDescent="0.15">
      <c r="A191" s="209"/>
      <c r="B191" s="210"/>
      <c r="C191" s="172">
        <v>3</v>
      </c>
      <c r="D191" s="172"/>
      <c r="E191" s="173" t="s">
        <v>83</v>
      </c>
      <c r="F191" s="174"/>
      <c r="G191" s="175">
        <v>142800</v>
      </c>
      <c r="H191" s="175"/>
      <c r="I191" s="176">
        <v>429000</v>
      </c>
      <c r="J191" s="177"/>
      <c r="K191" s="180"/>
      <c r="L191" s="181"/>
      <c r="M191" s="181"/>
      <c r="N191" s="181"/>
      <c r="O191" s="182"/>
      <c r="P191" s="14"/>
      <c r="Q191" s="6"/>
      <c r="R191" s="6"/>
      <c r="S191" s="6"/>
    </row>
    <row r="192" spans="1:19" ht="14.25" customHeight="1" x14ac:dyDescent="0.15">
      <c r="A192" s="209"/>
      <c r="B192" s="210"/>
      <c r="C192" s="178">
        <v>4500</v>
      </c>
      <c r="D192" s="178"/>
      <c r="E192" s="173" t="s">
        <v>85</v>
      </c>
      <c r="F192" s="174"/>
      <c r="G192" s="179">
        <v>220.15</v>
      </c>
      <c r="H192" s="179"/>
      <c r="I192" s="176">
        <v>991000</v>
      </c>
      <c r="J192" s="177"/>
      <c r="K192" s="170" t="s">
        <v>142</v>
      </c>
      <c r="L192" s="171"/>
      <c r="M192" s="171"/>
      <c r="N192" s="171"/>
      <c r="O192" s="195"/>
      <c r="P192" s="14"/>
      <c r="Q192" s="6"/>
      <c r="R192" s="6"/>
      <c r="S192" s="6"/>
    </row>
    <row r="193" spans="1:19" ht="14.25" customHeight="1" x14ac:dyDescent="0.15">
      <c r="A193" s="209"/>
      <c r="B193" s="210"/>
      <c r="C193" s="178">
        <v>45000</v>
      </c>
      <c r="D193" s="178"/>
      <c r="E193" s="173" t="s">
        <v>85</v>
      </c>
      <c r="F193" s="174"/>
      <c r="G193" s="179">
        <v>14.88</v>
      </c>
      <c r="H193" s="179"/>
      <c r="I193" s="176">
        <v>670000</v>
      </c>
      <c r="J193" s="177"/>
      <c r="K193" s="180"/>
      <c r="L193" s="181"/>
      <c r="M193" s="181"/>
      <c r="N193" s="181"/>
      <c r="O193" s="182"/>
      <c r="P193" s="14"/>
      <c r="Q193" s="6"/>
      <c r="R193" s="6"/>
      <c r="S193" s="6"/>
    </row>
    <row r="194" spans="1:19" ht="14.25" customHeight="1" x14ac:dyDescent="0.15">
      <c r="A194" s="209"/>
      <c r="B194" s="210"/>
      <c r="C194" s="178">
        <v>45000</v>
      </c>
      <c r="D194" s="178"/>
      <c r="E194" s="173" t="s">
        <v>85</v>
      </c>
      <c r="F194" s="174"/>
      <c r="G194" s="179">
        <v>23.8</v>
      </c>
      <c r="H194" s="179"/>
      <c r="I194" s="176">
        <v>1071000</v>
      </c>
      <c r="J194" s="177"/>
      <c r="K194" s="180"/>
      <c r="L194" s="181"/>
      <c r="M194" s="181"/>
      <c r="N194" s="181"/>
      <c r="O194" s="182"/>
      <c r="P194" s="14"/>
      <c r="Q194" s="6"/>
      <c r="R194" s="6"/>
      <c r="S194" s="6"/>
    </row>
    <row r="195" spans="1:19" ht="14.25" customHeight="1" x14ac:dyDescent="0.15">
      <c r="A195" s="209"/>
      <c r="B195" s="210"/>
      <c r="C195" s="172">
        <v>4</v>
      </c>
      <c r="D195" s="172"/>
      <c r="E195" s="173" t="s">
        <v>83</v>
      </c>
      <c r="F195" s="174"/>
      <c r="G195" s="175">
        <v>9520</v>
      </c>
      <c r="H195" s="175"/>
      <c r="I195" s="176">
        <v>39000</v>
      </c>
      <c r="J195" s="177"/>
      <c r="K195" s="180"/>
      <c r="L195" s="181"/>
      <c r="M195" s="181"/>
      <c r="N195" s="181"/>
      <c r="O195" s="182"/>
      <c r="P195" s="14"/>
      <c r="Q195" s="6"/>
      <c r="R195" s="6"/>
      <c r="S195" s="6"/>
    </row>
    <row r="196" spans="1:19" ht="14.25" customHeight="1" x14ac:dyDescent="0.15">
      <c r="A196" s="209"/>
      <c r="B196" s="210"/>
      <c r="C196" s="172">
        <v>4</v>
      </c>
      <c r="D196" s="172"/>
      <c r="E196" s="173" t="s">
        <v>83</v>
      </c>
      <c r="F196" s="174"/>
      <c r="G196" s="175">
        <v>23800</v>
      </c>
      <c r="H196" s="175"/>
      <c r="I196" s="176">
        <v>96000</v>
      </c>
      <c r="J196" s="177"/>
      <c r="K196" s="180"/>
      <c r="L196" s="181"/>
      <c r="M196" s="181"/>
      <c r="N196" s="181"/>
      <c r="O196" s="182"/>
      <c r="P196" s="14"/>
      <c r="Q196" s="6"/>
      <c r="R196" s="6"/>
      <c r="S196" s="6"/>
    </row>
    <row r="197" spans="1:19" ht="14.25" customHeight="1" x14ac:dyDescent="0.15">
      <c r="A197" s="127"/>
      <c r="B197" s="125"/>
      <c r="C197" s="185">
        <v>55000</v>
      </c>
      <c r="D197" s="185"/>
      <c r="E197" s="186" t="s">
        <v>85</v>
      </c>
      <c r="F197" s="187"/>
      <c r="G197" s="188">
        <v>4.17</v>
      </c>
      <c r="H197" s="188"/>
      <c r="I197" s="189">
        <v>230000</v>
      </c>
      <c r="J197" s="190"/>
      <c r="K197" s="191"/>
      <c r="L197" s="192"/>
      <c r="M197" s="192"/>
      <c r="N197" s="192"/>
      <c r="O197" s="193"/>
      <c r="P197" s="14"/>
      <c r="Q197" s="6"/>
      <c r="R197" s="6"/>
      <c r="S197" s="6"/>
    </row>
    <row r="198" spans="1:19" ht="14.25" customHeight="1" x14ac:dyDescent="0.15">
      <c r="A198" s="128"/>
      <c r="B198" s="129"/>
      <c r="C198" s="129"/>
      <c r="D198" s="129"/>
      <c r="E198" s="129"/>
      <c r="F198" s="129"/>
      <c r="G198" s="129"/>
      <c r="H198" s="129"/>
      <c r="I198" s="129"/>
      <c r="J198" s="130"/>
      <c r="K198" s="128"/>
      <c r="L198" s="129"/>
      <c r="M198" s="129"/>
      <c r="N198" s="129"/>
      <c r="O198" s="130"/>
      <c r="P198" s="14"/>
      <c r="Q198" s="6"/>
      <c r="R198" s="6"/>
      <c r="S198" s="6"/>
    </row>
    <row r="199" spans="1:19" ht="14.25" customHeight="1" x14ac:dyDescent="0.15">
      <c r="A199" s="131" t="s">
        <v>143</v>
      </c>
      <c r="B199" s="132"/>
      <c r="C199" s="152"/>
      <c r="D199" s="152"/>
      <c r="E199" s="152"/>
      <c r="F199" s="152"/>
      <c r="G199" s="152"/>
      <c r="H199" s="152"/>
      <c r="I199" s="153">
        <v>1555000</v>
      </c>
      <c r="J199" s="154"/>
      <c r="K199" s="155">
        <v>1555000</v>
      </c>
      <c r="L199" s="153"/>
      <c r="M199" s="153"/>
      <c r="N199" s="153"/>
      <c r="O199" s="154"/>
      <c r="P199" s="14"/>
      <c r="Q199" s="6"/>
      <c r="R199" s="6"/>
      <c r="S199" s="6"/>
    </row>
    <row r="200" spans="1:19" ht="45" customHeight="1" x14ac:dyDescent="0.15">
      <c r="A200" s="156" t="s">
        <v>144</v>
      </c>
      <c r="B200" s="207"/>
      <c r="C200" s="307" t="s">
        <v>145</v>
      </c>
      <c r="D200" s="308"/>
      <c r="E200" s="222" t="s">
        <v>146</v>
      </c>
      <c r="F200" s="207"/>
      <c r="G200" s="222" t="s">
        <v>147</v>
      </c>
      <c r="H200" s="207"/>
      <c r="I200" s="222" t="s">
        <v>148</v>
      </c>
      <c r="J200" s="208"/>
      <c r="K200" s="206"/>
      <c r="L200" s="207"/>
      <c r="M200" s="207"/>
      <c r="N200" s="207"/>
      <c r="O200" s="208"/>
      <c r="P200" s="14"/>
      <c r="Q200" s="6"/>
      <c r="R200" s="6"/>
      <c r="S200" s="6"/>
    </row>
    <row r="201" spans="1:19" ht="19" customHeight="1" x14ac:dyDescent="0.15">
      <c r="A201" s="170" t="s">
        <v>149</v>
      </c>
      <c r="B201" s="171"/>
      <c r="C201" s="172">
        <v>1</v>
      </c>
      <c r="D201" s="172"/>
      <c r="E201" s="173" t="s">
        <v>83</v>
      </c>
      <c r="F201" s="174"/>
      <c r="G201" s="175">
        <v>60000</v>
      </c>
      <c r="H201" s="175"/>
      <c r="I201" s="176">
        <v>60000</v>
      </c>
      <c r="J201" s="177"/>
      <c r="K201" s="209"/>
      <c r="L201" s="210"/>
      <c r="M201" s="210"/>
      <c r="N201" s="210"/>
      <c r="O201" s="211"/>
      <c r="P201" s="14"/>
      <c r="Q201" s="6"/>
      <c r="R201" s="6"/>
      <c r="S201" s="6"/>
    </row>
    <row r="202" spans="1:19" ht="16" customHeight="1" x14ac:dyDescent="0.15">
      <c r="A202" s="183" t="s">
        <v>116</v>
      </c>
      <c r="B202" s="184"/>
      <c r="C202" s="192"/>
      <c r="D202" s="192"/>
      <c r="E202" s="192"/>
      <c r="F202" s="192"/>
      <c r="G202" s="192"/>
      <c r="H202" s="192"/>
      <c r="I202" s="192"/>
      <c r="J202" s="193"/>
      <c r="K202" s="127"/>
      <c r="L202" s="125"/>
      <c r="M202" s="125"/>
      <c r="N202" s="125"/>
      <c r="O202" s="126"/>
      <c r="P202" s="14"/>
      <c r="Q202" s="6"/>
      <c r="R202" s="6"/>
      <c r="S202" s="6"/>
    </row>
    <row r="203" spans="1:19" ht="14.25" customHeight="1" x14ac:dyDescent="0.15">
      <c r="A203" s="128"/>
      <c r="B203" s="129"/>
      <c r="C203" s="129"/>
      <c r="D203" s="129"/>
      <c r="E203" s="129"/>
      <c r="F203" s="129"/>
      <c r="G203" s="129"/>
      <c r="H203" s="129"/>
      <c r="I203" s="129"/>
      <c r="J203" s="130"/>
      <c r="K203" s="128"/>
      <c r="L203" s="129"/>
      <c r="M203" s="129"/>
      <c r="N203" s="129"/>
      <c r="O203" s="130"/>
      <c r="P203" s="14"/>
      <c r="Q203" s="6"/>
      <c r="R203" s="6"/>
      <c r="S203" s="6"/>
    </row>
    <row r="204" spans="1:19" ht="14.25" customHeight="1" x14ac:dyDescent="0.15">
      <c r="A204" s="131" t="s">
        <v>150</v>
      </c>
      <c r="B204" s="132"/>
      <c r="C204" s="152"/>
      <c r="D204" s="152"/>
      <c r="E204" s="152"/>
      <c r="F204" s="152"/>
      <c r="G204" s="152"/>
      <c r="H204" s="152"/>
      <c r="I204" s="153">
        <v>729000</v>
      </c>
      <c r="J204" s="154"/>
      <c r="K204" s="155">
        <v>729000</v>
      </c>
      <c r="L204" s="153"/>
      <c r="M204" s="153"/>
      <c r="N204" s="153"/>
      <c r="O204" s="154"/>
      <c r="P204" s="14"/>
      <c r="Q204" s="6"/>
      <c r="R204" s="6"/>
      <c r="S204" s="6"/>
    </row>
    <row r="205" spans="1:19" ht="38.25" customHeight="1" x14ac:dyDescent="0.15">
      <c r="A205" s="137" t="s">
        <v>151</v>
      </c>
      <c r="B205" s="138"/>
      <c r="C205" s="273">
        <v>35</v>
      </c>
      <c r="D205" s="273"/>
      <c r="E205" s="274" t="s">
        <v>83</v>
      </c>
      <c r="F205" s="275"/>
      <c r="G205" s="276">
        <v>20825</v>
      </c>
      <c r="H205" s="276"/>
      <c r="I205" s="277">
        <v>729000</v>
      </c>
      <c r="J205" s="278"/>
      <c r="K205" s="140"/>
      <c r="L205" s="141"/>
      <c r="M205" s="141"/>
      <c r="N205" s="141"/>
      <c r="O205" s="142"/>
      <c r="P205" s="14"/>
      <c r="Q205" s="6"/>
      <c r="R205" s="6"/>
      <c r="S205" s="6"/>
    </row>
    <row r="206" spans="1:19" ht="14.25" customHeight="1" x14ac:dyDescent="0.15">
      <c r="A206" s="128"/>
      <c r="B206" s="129"/>
      <c r="C206" s="129"/>
      <c r="D206" s="129"/>
      <c r="E206" s="129"/>
      <c r="F206" s="129"/>
      <c r="G206" s="129"/>
      <c r="H206" s="129"/>
      <c r="I206" s="129"/>
      <c r="J206" s="130"/>
      <c r="K206" s="128"/>
      <c r="L206" s="129"/>
      <c r="M206" s="129"/>
      <c r="N206" s="129"/>
      <c r="O206" s="130"/>
      <c r="P206" s="14"/>
      <c r="Q206" s="6"/>
      <c r="R206" s="6"/>
      <c r="S206" s="6"/>
    </row>
    <row r="207" spans="1:19" ht="14.25" customHeight="1" x14ac:dyDescent="0.15">
      <c r="A207" s="260" t="s">
        <v>152</v>
      </c>
      <c r="B207" s="261"/>
      <c r="C207" s="262"/>
      <c r="D207" s="262"/>
      <c r="E207" s="262"/>
      <c r="F207" s="262"/>
      <c r="G207" s="262"/>
      <c r="H207" s="262"/>
      <c r="I207" s="263">
        <v>37995000</v>
      </c>
      <c r="J207" s="264"/>
      <c r="K207" s="265">
        <v>49788000</v>
      </c>
      <c r="L207" s="266"/>
      <c r="M207" s="266"/>
      <c r="N207" s="266"/>
      <c r="O207" s="267"/>
      <c r="P207" s="14"/>
      <c r="Q207" s="6"/>
      <c r="R207" s="6"/>
      <c r="S207" s="6"/>
    </row>
    <row r="208" spans="1:19" ht="14.5" customHeight="1" x14ac:dyDescent="0.15">
      <c r="A208" s="149"/>
      <c r="B208" s="150"/>
      <c r="C208" s="150"/>
      <c r="D208" s="150"/>
      <c r="E208" s="150"/>
      <c r="F208" s="150"/>
      <c r="G208" s="150"/>
      <c r="H208" s="150"/>
      <c r="I208" s="150"/>
      <c r="J208" s="151"/>
      <c r="K208" s="149"/>
      <c r="L208" s="150"/>
      <c r="M208" s="150"/>
      <c r="N208" s="150"/>
      <c r="O208" s="151"/>
      <c r="P208" s="14"/>
      <c r="Q208" s="6"/>
      <c r="R208" s="6"/>
      <c r="S208" s="6"/>
    </row>
    <row r="209" spans="1:19" ht="66" customHeight="1" x14ac:dyDescent="0.15">
      <c r="A209" s="268" t="s">
        <v>56</v>
      </c>
      <c r="B209" s="269"/>
      <c r="C209" s="269"/>
      <c r="D209" s="269"/>
      <c r="E209" s="269"/>
      <c r="F209" s="269"/>
      <c r="G209" s="269"/>
      <c r="H209" s="269"/>
      <c r="I209" s="269"/>
      <c r="J209" s="269"/>
      <c r="K209" s="269"/>
      <c r="L209" s="269"/>
      <c r="M209" s="269"/>
      <c r="N209" s="269"/>
      <c r="O209" s="269"/>
      <c r="P209" s="168"/>
      <c r="Q209" s="168"/>
      <c r="R209" s="168"/>
      <c r="S209" s="6"/>
    </row>
    <row r="210" spans="1:19" ht="17.25" customHeight="1" x14ac:dyDescent="0.15">
      <c r="A210" s="270" t="s">
        <v>153</v>
      </c>
      <c r="B210" s="271"/>
      <c r="C210" s="271"/>
      <c r="D210" s="271"/>
      <c r="E210" s="271"/>
      <c r="F210" s="271"/>
      <c r="G210" s="271"/>
      <c r="H210" s="271"/>
      <c r="I210" s="271"/>
      <c r="J210" s="271"/>
      <c r="K210" s="271"/>
      <c r="L210" s="271"/>
      <c r="M210" s="271"/>
      <c r="N210" s="271"/>
      <c r="O210" s="271"/>
      <c r="P210" s="272"/>
      <c r="Q210" s="181"/>
      <c r="R210" s="181"/>
      <c r="S210" s="6"/>
    </row>
    <row r="211" spans="1:19" ht="12.75" customHeight="1" x14ac:dyDescent="0.15">
      <c r="A211" s="9"/>
      <c r="B211" s="150"/>
      <c r="C211" s="150"/>
      <c r="D211" s="150"/>
      <c r="E211" s="150"/>
      <c r="F211" s="150"/>
      <c r="G211" s="150"/>
      <c r="H211" s="150"/>
      <c r="I211" s="150"/>
      <c r="J211" s="150"/>
      <c r="K211" s="150"/>
      <c r="L211" s="150"/>
      <c r="M211" s="150"/>
      <c r="N211" s="150"/>
      <c r="O211" s="150"/>
      <c r="P211" s="181"/>
      <c r="Q211" s="181"/>
      <c r="R211" s="181"/>
      <c r="S211" s="6"/>
    </row>
    <row r="212" spans="1:19" ht="42.75" customHeight="1" x14ac:dyDescent="0.15">
      <c r="A212" s="10"/>
      <c r="B212" s="248" t="s">
        <v>58</v>
      </c>
      <c r="C212" s="249"/>
      <c r="D212" s="250"/>
      <c r="E212" s="251" t="s">
        <v>59</v>
      </c>
      <c r="F212" s="250"/>
      <c r="G212" s="248" t="s">
        <v>60</v>
      </c>
      <c r="H212" s="250"/>
      <c r="I212" s="252" t="s">
        <v>61</v>
      </c>
      <c r="J212" s="253"/>
      <c r="K212" s="254" t="s">
        <v>62</v>
      </c>
      <c r="L212" s="255"/>
      <c r="M212" s="255"/>
      <c r="N212" s="255"/>
      <c r="O212" s="256"/>
      <c r="P212" s="209"/>
      <c r="Q212" s="210"/>
      <c r="R212" s="210"/>
      <c r="S212" s="6"/>
    </row>
    <row r="213" spans="1:19" ht="14.25" customHeight="1" x14ac:dyDescent="0.15">
      <c r="A213" s="128"/>
      <c r="B213" s="129"/>
      <c r="C213" s="129"/>
      <c r="D213" s="129"/>
      <c r="E213" s="129"/>
      <c r="F213" s="129"/>
      <c r="G213" s="129"/>
      <c r="H213" s="129"/>
      <c r="I213" s="129"/>
      <c r="J213" s="130"/>
      <c r="K213" s="128"/>
      <c r="L213" s="129"/>
      <c r="M213" s="129"/>
      <c r="N213" s="129"/>
      <c r="O213" s="130"/>
      <c r="P213" s="180"/>
      <c r="Q213" s="181"/>
      <c r="R213" s="181"/>
      <c r="S213" s="6"/>
    </row>
    <row r="214" spans="1:19" ht="14.25" customHeight="1" x14ac:dyDescent="0.15">
      <c r="A214" s="8" t="s">
        <v>63</v>
      </c>
      <c r="B214" s="152"/>
      <c r="C214" s="152"/>
      <c r="D214" s="152"/>
      <c r="E214" s="152"/>
      <c r="F214" s="152"/>
      <c r="G214" s="152"/>
      <c r="H214" s="152"/>
      <c r="I214" s="153">
        <v>7279000</v>
      </c>
      <c r="J214" s="154"/>
      <c r="K214" s="155">
        <v>9682000</v>
      </c>
      <c r="L214" s="153"/>
      <c r="M214" s="153"/>
      <c r="N214" s="153"/>
      <c r="O214" s="154"/>
      <c r="P214" s="180"/>
      <c r="Q214" s="181"/>
      <c r="R214" s="181"/>
      <c r="S214" s="6"/>
    </row>
    <row r="215" spans="1:19" ht="49" customHeight="1" x14ac:dyDescent="0.15">
      <c r="A215" s="218" t="s">
        <v>154</v>
      </c>
      <c r="B215" s="307" t="s">
        <v>155</v>
      </c>
      <c r="C215" s="308"/>
      <c r="D215" s="308"/>
      <c r="E215" s="220" t="s">
        <v>156</v>
      </c>
      <c r="F215" s="221"/>
      <c r="G215" s="222" t="s">
        <v>157</v>
      </c>
      <c r="H215" s="207"/>
      <c r="I215" s="310" t="s">
        <v>158</v>
      </c>
      <c r="J215" s="208"/>
      <c r="K215" s="223" t="s">
        <v>159</v>
      </c>
      <c r="L215" s="224"/>
      <c r="M215" s="224"/>
      <c r="N215" s="224"/>
      <c r="O215" s="225"/>
      <c r="P215" s="209"/>
      <c r="Q215" s="210"/>
      <c r="R215" s="210"/>
      <c r="S215" s="6"/>
    </row>
    <row r="216" spans="1:19" ht="127" customHeight="1" x14ac:dyDescent="0.15">
      <c r="A216" s="209"/>
      <c r="B216" s="309"/>
      <c r="C216" s="309"/>
      <c r="D216" s="309"/>
      <c r="E216" s="235"/>
      <c r="F216" s="235"/>
      <c r="G216" s="210"/>
      <c r="H216" s="210"/>
      <c r="I216" s="210"/>
      <c r="J216" s="211"/>
      <c r="K216" s="170" t="s">
        <v>159</v>
      </c>
      <c r="L216" s="171"/>
      <c r="M216" s="171"/>
      <c r="N216" s="171"/>
      <c r="O216" s="195"/>
      <c r="P216" s="209"/>
      <c r="Q216" s="210"/>
      <c r="R216" s="210"/>
      <c r="S216" s="6"/>
    </row>
    <row r="217" spans="1:19" ht="140.25" customHeight="1" x14ac:dyDescent="0.15">
      <c r="A217" s="209"/>
      <c r="B217" s="309"/>
      <c r="C217" s="309"/>
      <c r="D217" s="309"/>
      <c r="E217" s="235"/>
      <c r="F217" s="235"/>
      <c r="G217" s="210"/>
      <c r="H217" s="210"/>
      <c r="I217" s="210"/>
      <c r="J217" s="211"/>
      <c r="K217" s="293" t="s">
        <v>160</v>
      </c>
      <c r="L217" s="294"/>
      <c r="M217" s="294"/>
      <c r="N217" s="294"/>
      <c r="O217" s="295"/>
      <c r="P217" s="209"/>
      <c r="Q217" s="210"/>
      <c r="R217" s="210"/>
      <c r="S217" s="6"/>
    </row>
    <row r="218" spans="1:19" ht="14.25" customHeight="1" x14ac:dyDescent="0.15">
      <c r="A218" s="209"/>
      <c r="B218" s="309"/>
      <c r="C218" s="309"/>
      <c r="D218" s="309"/>
      <c r="E218" s="235"/>
      <c r="F218" s="235"/>
      <c r="G218" s="210"/>
      <c r="H218" s="210"/>
      <c r="I218" s="210"/>
      <c r="J218" s="211"/>
      <c r="K218" s="170" t="s">
        <v>161</v>
      </c>
      <c r="L218" s="171"/>
      <c r="M218" s="171"/>
      <c r="N218" s="171"/>
      <c r="O218" s="195"/>
      <c r="P218" s="180"/>
      <c r="Q218" s="181"/>
      <c r="R218" s="181"/>
      <c r="S218" s="6"/>
    </row>
    <row r="219" spans="1:19" ht="14.25" customHeight="1" x14ac:dyDescent="0.15">
      <c r="A219" s="209"/>
      <c r="B219" s="309"/>
      <c r="C219" s="309"/>
      <c r="D219" s="309"/>
      <c r="E219" s="235"/>
      <c r="F219" s="235"/>
      <c r="G219" s="210"/>
      <c r="H219" s="210"/>
      <c r="I219" s="210"/>
      <c r="J219" s="211"/>
      <c r="K219" s="170" t="s">
        <v>162</v>
      </c>
      <c r="L219" s="171"/>
      <c r="M219" s="171"/>
      <c r="N219" s="171"/>
      <c r="O219" s="195"/>
      <c r="P219" s="180"/>
      <c r="Q219" s="181"/>
      <c r="R219" s="181"/>
      <c r="S219" s="6"/>
    </row>
    <row r="220" spans="1:19" ht="35.25" customHeight="1" x14ac:dyDescent="0.15">
      <c r="A220" s="209"/>
      <c r="B220" s="309"/>
      <c r="C220" s="309"/>
      <c r="D220" s="309"/>
      <c r="E220" s="235"/>
      <c r="F220" s="235"/>
      <c r="G220" s="210"/>
      <c r="H220" s="210"/>
      <c r="I220" s="210"/>
      <c r="J220" s="211"/>
      <c r="K220" s="170" t="s">
        <v>163</v>
      </c>
      <c r="L220" s="171"/>
      <c r="M220" s="171"/>
      <c r="N220" s="171"/>
      <c r="O220" s="195"/>
      <c r="P220" s="167"/>
      <c r="Q220" s="168"/>
      <c r="R220" s="168"/>
      <c r="S220" s="6"/>
    </row>
    <row r="221" spans="1:19" ht="50.25" customHeight="1" x14ac:dyDescent="0.15">
      <c r="A221" s="209"/>
      <c r="B221" s="309"/>
      <c r="C221" s="309"/>
      <c r="D221" s="309"/>
      <c r="E221" s="235"/>
      <c r="F221" s="235"/>
      <c r="G221" s="210"/>
      <c r="H221" s="210"/>
      <c r="I221" s="210"/>
      <c r="J221" s="211"/>
      <c r="K221" s="237" t="s">
        <v>72</v>
      </c>
      <c r="L221" s="238"/>
      <c r="M221" s="238"/>
      <c r="N221" s="238"/>
      <c r="O221" s="239"/>
      <c r="P221" s="209"/>
      <c r="Q221" s="210"/>
      <c r="R221" s="210"/>
      <c r="S221" s="6"/>
    </row>
    <row r="222" spans="1:19" ht="165.25" customHeight="1" x14ac:dyDescent="0.15">
      <c r="A222" s="209"/>
      <c r="B222" s="309"/>
      <c r="C222" s="309"/>
      <c r="D222" s="309"/>
      <c r="E222" s="235"/>
      <c r="F222" s="235"/>
      <c r="G222" s="210"/>
      <c r="H222" s="210"/>
      <c r="I222" s="210"/>
      <c r="J222" s="211"/>
      <c r="K222" s="170" t="s">
        <v>74</v>
      </c>
      <c r="L222" s="171"/>
      <c r="M222" s="171"/>
      <c r="N222" s="171"/>
      <c r="O222" s="195"/>
      <c r="P222" s="209"/>
      <c r="Q222" s="210"/>
      <c r="R222" s="210"/>
      <c r="S222" s="6"/>
    </row>
    <row r="223" spans="1:19" ht="15" customHeight="1" x14ac:dyDescent="0.15">
      <c r="A223" s="183" t="s">
        <v>164</v>
      </c>
      <c r="B223" s="184"/>
      <c r="C223" s="185">
        <v>23400</v>
      </c>
      <c r="D223" s="185"/>
      <c r="E223" s="186" t="s">
        <v>85</v>
      </c>
      <c r="F223" s="187"/>
      <c r="G223" s="188">
        <v>14.28</v>
      </c>
      <c r="H223" s="188"/>
      <c r="I223" s="189">
        <v>334152</v>
      </c>
      <c r="J223" s="190"/>
      <c r="K223" s="191"/>
      <c r="L223" s="192"/>
      <c r="M223" s="192"/>
      <c r="N223" s="192"/>
      <c r="O223" s="193"/>
      <c r="P223" s="14"/>
      <c r="Q223" s="6"/>
      <c r="R223" s="6"/>
      <c r="S223" s="6"/>
    </row>
    <row r="224" spans="1:19" ht="14.25" customHeight="1" x14ac:dyDescent="0.15">
      <c r="A224" s="128"/>
      <c r="B224" s="129"/>
      <c r="C224" s="129"/>
      <c r="D224" s="129"/>
      <c r="E224" s="129"/>
      <c r="F224" s="129"/>
      <c r="G224" s="129"/>
      <c r="H224" s="129"/>
      <c r="I224" s="129"/>
      <c r="J224" s="130"/>
      <c r="K224" s="128"/>
      <c r="L224" s="129"/>
      <c r="M224" s="129"/>
      <c r="N224" s="129"/>
      <c r="O224" s="130"/>
      <c r="P224" s="14"/>
      <c r="Q224" s="6"/>
      <c r="R224" s="6"/>
      <c r="S224" s="6"/>
    </row>
    <row r="225" spans="1:19" ht="14.25" customHeight="1" x14ac:dyDescent="0.15">
      <c r="A225" s="131" t="s">
        <v>75</v>
      </c>
      <c r="B225" s="132"/>
      <c r="C225" s="152"/>
      <c r="D225" s="152"/>
      <c r="E225" s="152"/>
      <c r="F225" s="152"/>
      <c r="G225" s="152"/>
      <c r="H225" s="152"/>
      <c r="I225" s="153">
        <v>1107000</v>
      </c>
      <c r="J225" s="154"/>
      <c r="K225" s="155">
        <v>1473000</v>
      </c>
      <c r="L225" s="153"/>
      <c r="M225" s="153"/>
      <c r="N225" s="153"/>
      <c r="O225" s="154"/>
      <c r="P225" s="14"/>
      <c r="Q225" s="6"/>
      <c r="R225" s="6"/>
      <c r="S225" s="6"/>
    </row>
    <row r="226" spans="1:19" ht="70" customHeight="1" x14ac:dyDescent="0.15">
      <c r="A226" s="137" t="s">
        <v>165</v>
      </c>
      <c r="B226" s="138"/>
      <c r="C226" s="280" t="s">
        <v>166</v>
      </c>
      <c r="D226" s="281"/>
      <c r="E226" s="232" t="s">
        <v>167</v>
      </c>
      <c r="F226" s="233"/>
      <c r="G226" s="230" t="s">
        <v>168</v>
      </c>
      <c r="H226" s="138"/>
      <c r="I226" s="230" t="s">
        <v>169</v>
      </c>
      <c r="J226" s="139"/>
      <c r="K226" s="234"/>
      <c r="L226" s="138"/>
      <c r="M226" s="138"/>
      <c r="N226" s="138"/>
      <c r="O226" s="139"/>
      <c r="P226" s="14"/>
      <c r="Q226" s="6"/>
      <c r="R226" s="6"/>
      <c r="S226" s="6"/>
    </row>
    <row r="227" spans="1:19" ht="14.25" customHeight="1" x14ac:dyDescent="0.15">
      <c r="A227" s="128"/>
      <c r="B227" s="129"/>
      <c r="C227" s="129"/>
      <c r="D227" s="129"/>
      <c r="E227" s="129"/>
      <c r="F227" s="129"/>
      <c r="G227" s="129"/>
      <c r="H227" s="129"/>
      <c r="I227" s="129"/>
      <c r="J227" s="130"/>
      <c r="K227" s="128"/>
      <c r="L227" s="129"/>
      <c r="M227" s="129"/>
      <c r="N227" s="129"/>
      <c r="O227" s="130"/>
      <c r="P227" s="14"/>
      <c r="Q227" s="6"/>
      <c r="R227" s="6"/>
      <c r="S227" s="6"/>
    </row>
    <row r="228" spans="1:19" ht="14.25" customHeight="1" x14ac:dyDescent="0.15">
      <c r="A228" s="131" t="s">
        <v>81</v>
      </c>
      <c r="B228" s="132"/>
      <c r="C228" s="152"/>
      <c r="D228" s="152"/>
      <c r="E228" s="152"/>
      <c r="F228" s="152"/>
      <c r="G228" s="152"/>
      <c r="H228" s="152"/>
      <c r="I228" s="153">
        <v>22085000</v>
      </c>
      <c r="J228" s="154"/>
      <c r="K228" s="155">
        <v>29374000</v>
      </c>
      <c r="L228" s="153"/>
      <c r="M228" s="153"/>
      <c r="N228" s="153"/>
      <c r="O228" s="154"/>
      <c r="P228" s="14"/>
      <c r="Q228" s="6"/>
      <c r="R228" s="6"/>
      <c r="S228" s="6"/>
    </row>
    <row r="229" spans="1:19" ht="14.25" customHeight="1" x14ac:dyDescent="0.15">
      <c r="A229" s="156" t="s">
        <v>170</v>
      </c>
      <c r="B229" s="157"/>
      <c r="C229" s="198"/>
      <c r="D229" s="198"/>
      <c r="E229" s="198"/>
      <c r="F229" s="198"/>
      <c r="G229" s="198"/>
      <c r="H229" s="198"/>
      <c r="I229" s="198"/>
      <c r="J229" s="199"/>
      <c r="K229" s="206"/>
      <c r="L229" s="207"/>
      <c r="M229" s="207"/>
      <c r="N229" s="207"/>
      <c r="O229" s="208"/>
      <c r="P229" s="14"/>
      <c r="Q229" s="6"/>
      <c r="R229" s="6"/>
      <c r="S229" s="6"/>
    </row>
    <row r="230" spans="1:19" ht="14.25" customHeight="1" x14ac:dyDescent="0.15">
      <c r="A230" s="194" t="s">
        <v>171</v>
      </c>
      <c r="B230" s="171"/>
      <c r="C230" s="178">
        <v>1300</v>
      </c>
      <c r="D230" s="178"/>
      <c r="E230" s="173" t="s">
        <v>85</v>
      </c>
      <c r="F230" s="174"/>
      <c r="G230" s="179">
        <v>29.75</v>
      </c>
      <c r="H230" s="179"/>
      <c r="I230" s="176">
        <v>38675</v>
      </c>
      <c r="J230" s="177"/>
      <c r="K230" s="209"/>
      <c r="L230" s="210"/>
      <c r="M230" s="210"/>
      <c r="N230" s="210"/>
      <c r="O230" s="211"/>
      <c r="P230" s="14"/>
      <c r="Q230" s="6"/>
      <c r="R230" s="6"/>
      <c r="S230" s="6"/>
    </row>
    <row r="231" spans="1:19" ht="14.25" customHeight="1" x14ac:dyDescent="0.15">
      <c r="A231" s="194" t="s">
        <v>84</v>
      </c>
      <c r="B231" s="171"/>
      <c r="C231" s="178">
        <v>10773</v>
      </c>
      <c r="D231" s="178"/>
      <c r="E231" s="173" t="s">
        <v>85</v>
      </c>
      <c r="F231" s="174"/>
      <c r="G231" s="179">
        <v>595</v>
      </c>
      <c r="H231" s="179"/>
      <c r="I231" s="176">
        <v>6409935</v>
      </c>
      <c r="J231" s="177"/>
      <c r="K231" s="209"/>
      <c r="L231" s="210"/>
      <c r="M231" s="210"/>
      <c r="N231" s="210"/>
      <c r="O231" s="211"/>
      <c r="P231" s="14"/>
      <c r="Q231" s="6"/>
      <c r="R231" s="6"/>
      <c r="S231" s="6"/>
    </row>
    <row r="232" spans="1:19" ht="14.25" customHeight="1" x14ac:dyDescent="0.15">
      <c r="A232" s="194" t="s">
        <v>86</v>
      </c>
      <c r="B232" s="171"/>
      <c r="C232" s="178">
        <v>10773</v>
      </c>
      <c r="D232" s="178"/>
      <c r="E232" s="173" t="s">
        <v>85</v>
      </c>
      <c r="F232" s="174"/>
      <c r="G232" s="179">
        <v>49.98</v>
      </c>
      <c r="H232" s="179"/>
      <c r="I232" s="176">
        <v>538435</v>
      </c>
      <c r="J232" s="177"/>
      <c r="K232" s="209"/>
      <c r="L232" s="210"/>
      <c r="M232" s="210"/>
      <c r="N232" s="210"/>
      <c r="O232" s="211"/>
      <c r="P232" s="14"/>
      <c r="Q232" s="6"/>
      <c r="R232" s="6"/>
      <c r="S232" s="6"/>
    </row>
    <row r="233" spans="1:19" ht="14.25" customHeight="1" x14ac:dyDescent="0.15">
      <c r="A233" s="170" t="s">
        <v>87</v>
      </c>
      <c r="B233" s="171"/>
      <c r="C233" s="181"/>
      <c r="D233" s="181"/>
      <c r="E233" s="181"/>
      <c r="F233" s="181"/>
      <c r="G233" s="181"/>
      <c r="H233" s="181"/>
      <c r="I233" s="181"/>
      <c r="J233" s="182"/>
      <c r="K233" s="209"/>
      <c r="L233" s="210"/>
      <c r="M233" s="210"/>
      <c r="N233" s="210"/>
      <c r="O233" s="211"/>
      <c r="P233" s="14"/>
      <c r="Q233" s="6"/>
      <c r="R233" s="6"/>
      <c r="S233" s="6"/>
    </row>
    <row r="234" spans="1:19" ht="14.25" customHeight="1" x14ac:dyDescent="0.15">
      <c r="A234" s="194" t="s">
        <v>88</v>
      </c>
      <c r="B234" s="171"/>
      <c r="C234" s="172">
        <v>7</v>
      </c>
      <c r="D234" s="172"/>
      <c r="E234" s="173" t="s">
        <v>83</v>
      </c>
      <c r="F234" s="174"/>
      <c r="G234" s="175">
        <v>17850</v>
      </c>
      <c r="H234" s="175"/>
      <c r="I234" s="176">
        <v>125000</v>
      </c>
      <c r="J234" s="177"/>
      <c r="K234" s="209"/>
      <c r="L234" s="210"/>
      <c r="M234" s="210"/>
      <c r="N234" s="210"/>
      <c r="O234" s="211"/>
      <c r="P234" s="14"/>
      <c r="Q234" s="6"/>
      <c r="R234" s="6"/>
      <c r="S234" s="6"/>
    </row>
    <row r="235" spans="1:19" ht="14.25" customHeight="1" x14ac:dyDescent="0.15">
      <c r="A235" s="194" t="s">
        <v>172</v>
      </c>
      <c r="B235" s="171"/>
      <c r="C235" s="178">
        <v>20760</v>
      </c>
      <c r="D235" s="178"/>
      <c r="E235" s="173" t="s">
        <v>85</v>
      </c>
      <c r="F235" s="174"/>
      <c r="G235" s="179">
        <v>696.15</v>
      </c>
      <c r="H235" s="179"/>
      <c r="I235" s="176">
        <v>14453000</v>
      </c>
      <c r="J235" s="177"/>
      <c r="K235" s="170" t="s">
        <v>173</v>
      </c>
      <c r="L235" s="171"/>
      <c r="M235" s="171"/>
      <c r="N235" s="171"/>
      <c r="O235" s="171"/>
      <c r="P235" s="6"/>
      <c r="Q235" s="6"/>
      <c r="R235" s="6"/>
      <c r="S235" s="6"/>
    </row>
    <row r="236" spans="1:19" ht="14.25" customHeight="1" x14ac:dyDescent="0.15">
      <c r="A236" s="279" t="s">
        <v>86</v>
      </c>
      <c r="B236" s="184"/>
      <c r="C236" s="185">
        <v>10380</v>
      </c>
      <c r="D236" s="185"/>
      <c r="E236" s="186" t="s">
        <v>85</v>
      </c>
      <c r="F236" s="187"/>
      <c r="G236" s="188">
        <v>49.98</v>
      </c>
      <c r="H236" s="188"/>
      <c r="I236" s="189">
        <v>519000</v>
      </c>
      <c r="J236" s="190"/>
      <c r="K236" s="191"/>
      <c r="L236" s="192"/>
      <c r="M236" s="192"/>
      <c r="N236" s="192"/>
      <c r="O236" s="193"/>
      <c r="P236" s="14"/>
      <c r="Q236" s="6"/>
      <c r="R236" s="6"/>
      <c r="S236" s="6"/>
    </row>
    <row r="237" spans="1:19" ht="14.25" customHeight="1" x14ac:dyDescent="0.15">
      <c r="A237" s="128"/>
      <c r="B237" s="129"/>
      <c r="C237" s="129"/>
      <c r="D237" s="129"/>
      <c r="E237" s="129"/>
      <c r="F237" s="129"/>
      <c r="G237" s="129"/>
      <c r="H237" s="129"/>
      <c r="I237" s="129"/>
      <c r="J237" s="130"/>
      <c r="K237" s="128"/>
      <c r="L237" s="129"/>
      <c r="M237" s="129"/>
      <c r="N237" s="129"/>
      <c r="O237" s="130"/>
      <c r="P237" s="14"/>
      <c r="Q237" s="6"/>
      <c r="R237" s="6"/>
      <c r="S237" s="6"/>
    </row>
    <row r="238" spans="1:19" ht="14.25" customHeight="1" x14ac:dyDescent="0.15">
      <c r="A238" s="131" t="s">
        <v>90</v>
      </c>
      <c r="B238" s="132"/>
      <c r="C238" s="152"/>
      <c r="D238" s="152"/>
      <c r="E238" s="152"/>
      <c r="F238" s="152"/>
      <c r="G238" s="152"/>
      <c r="H238" s="152"/>
      <c r="I238" s="153">
        <v>429000</v>
      </c>
      <c r="J238" s="154"/>
      <c r="K238" s="155">
        <v>571000</v>
      </c>
      <c r="L238" s="153"/>
      <c r="M238" s="153"/>
      <c r="N238" s="153"/>
      <c r="O238" s="154"/>
      <c r="P238" s="14"/>
      <c r="Q238" s="6"/>
      <c r="R238" s="6"/>
      <c r="S238" s="6"/>
    </row>
    <row r="239" spans="1:19" ht="27" customHeight="1" x14ac:dyDescent="0.15">
      <c r="A239" s="227" t="s">
        <v>174</v>
      </c>
      <c r="B239" s="228"/>
      <c r="C239" s="212">
        <v>1200</v>
      </c>
      <c r="D239" s="212"/>
      <c r="E239" s="213" t="s">
        <v>85</v>
      </c>
      <c r="F239" s="214"/>
      <c r="G239" s="215">
        <v>357</v>
      </c>
      <c r="H239" s="215"/>
      <c r="I239" s="216">
        <v>428400</v>
      </c>
      <c r="J239" s="217"/>
      <c r="K239" s="304" t="s">
        <v>175</v>
      </c>
      <c r="L239" s="305"/>
      <c r="M239" s="305"/>
      <c r="N239" s="305"/>
      <c r="O239" s="306"/>
      <c r="P239" s="14"/>
      <c r="Q239" s="6"/>
      <c r="R239" s="6"/>
      <c r="S239" s="6"/>
    </row>
    <row r="240" spans="1:19" ht="14.25" customHeight="1" x14ac:dyDescent="0.15">
      <c r="A240" s="128"/>
      <c r="B240" s="129"/>
      <c r="C240" s="129"/>
      <c r="D240" s="129"/>
      <c r="E240" s="129"/>
      <c r="F240" s="129"/>
      <c r="G240" s="129"/>
      <c r="H240" s="129"/>
      <c r="I240" s="129"/>
      <c r="J240" s="130"/>
      <c r="K240" s="128"/>
      <c r="L240" s="129"/>
      <c r="M240" s="129"/>
      <c r="N240" s="129"/>
      <c r="O240" s="130"/>
      <c r="P240" s="14"/>
      <c r="Q240" s="6"/>
      <c r="R240" s="6"/>
      <c r="S240" s="6"/>
    </row>
    <row r="241" spans="1:19" ht="14.25" customHeight="1" x14ac:dyDescent="0.15">
      <c r="A241" s="131" t="s">
        <v>92</v>
      </c>
      <c r="B241" s="132"/>
      <c r="C241" s="152"/>
      <c r="D241" s="152"/>
      <c r="E241" s="152"/>
      <c r="F241" s="152"/>
      <c r="G241" s="152"/>
      <c r="H241" s="152"/>
      <c r="I241" s="153">
        <v>8435000</v>
      </c>
      <c r="J241" s="154"/>
      <c r="K241" s="155">
        <v>11219000</v>
      </c>
      <c r="L241" s="153"/>
      <c r="M241" s="153"/>
      <c r="N241" s="153"/>
      <c r="O241" s="154"/>
      <c r="P241" s="14"/>
      <c r="Q241" s="6"/>
      <c r="R241" s="6"/>
      <c r="S241" s="6"/>
    </row>
    <row r="242" spans="1:19" ht="14.25" customHeight="1" x14ac:dyDescent="0.15">
      <c r="A242" s="156" t="s">
        <v>93</v>
      </c>
      <c r="B242" s="157"/>
      <c r="C242" s="203">
        <v>2400</v>
      </c>
      <c r="D242" s="203"/>
      <c r="E242" s="159" t="s">
        <v>85</v>
      </c>
      <c r="F242" s="160"/>
      <c r="G242" s="204">
        <v>14.88</v>
      </c>
      <c r="H242" s="204"/>
      <c r="I242" s="162">
        <v>35700</v>
      </c>
      <c r="J242" s="163"/>
      <c r="K242" s="200"/>
      <c r="L242" s="198"/>
      <c r="M242" s="198"/>
      <c r="N242" s="198"/>
      <c r="O242" s="199"/>
      <c r="P242" s="14"/>
      <c r="Q242" s="6"/>
      <c r="R242" s="6"/>
      <c r="S242" s="6"/>
    </row>
    <row r="243" spans="1:19" ht="15" customHeight="1" x14ac:dyDescent="0.15">
      <c r="A243" s="196" t="s">
        <v>94</v>
      </c>
      <c r="B243" s="171"/>
      <c r="C243" s="181"/>
      <c r="D243" s="181"/>
      <c r="E243" s="181"/>
      <c r="F243" s="181"/>
      <c r="G243" s="181"/>
      <c r="H243" s="181"/>
      <c r="I243" s="181"/>
      <c r="J243" s="182"/>
      <c r="K243" s="209"/>
      <c r="L243" s="210"/>
      <c r="M243" s="210"/>
      <c r="N243" s="210"/>
      <c r="O243" s="210"/>
      <c r="P243" s="6"/>
      <c r="Q243" s="6"/>
      <c r="R243" s="6"/>
      <c r="S243" s="6"/>
    </row>
    <row r="244" spans="1:19" ht="14.25" customHeight="1" x14ac:dyDescent="0.15">
      <c r="A244" s="302" t="s">
        <v>176</v>
      </c>
      <c r="B244" s="171"/>
      <c r="C244" s="178">
        <v>5772</v>
      </c>
      <c r="D244" s="178"/>
      <c r="E244" s="173" t="s">
        <v>85</v>
      </c>
      <c r="F244" s="174"/>
      <c r="G244" s="179">
        <v>714</v>
      </c>
      <c r="H244" s="179"/>
      <c r="I244" s="176">
        <v>4122000</v>
      </c>
      <c r="J244" s="177"/>
      <c r="K244" s="209"/>
      <c r="L244" s="210"/>
      <c r="M244" s="210"/>
      <c r="N244" s="210"/>
      <c r="O244" s="210"/>
      <c r="P244" s="6"/>
      <c r="Q244" s="6"/>
      <c r="R244" s="6"/>
      <c r="S244" s="6"/>
    </row>
    <row r="245" spans="1:19" ht="14.25" customHeight="1" x14ac:dyDescent="0.15">
      <c r="A245" s="302" t="s">
        <v>86</v>
      </c>
      <c r="B245" s="171"/>
      <c r="C245" s="178">
        <v>5772</v>
      </c>
      <c r="D245" s="178"/>
      <c r="E245" s="173" t="s">
        <v>85</v>
      </c>
      <c r="F245" s="174"/>
      <c r="G245" s="179">
        <v>49.98</v>
      </c>
      <c r="H245" s="179"/>
      <c r="I245" s="176">
        <v>289000</v>
      </c>
      <c r="J245" s="177"/>
      <c r="K245" s="209"/>
      <c r="L245" s="210"/>
      <c r="M245" s="210"/>
      <c r="N245" s="210"/>
      <c r="O245" s="210"/>
      <c r="P245" s="6"/>
      <c r="Q245" s="6"/>
      <c r="R245" s="6"/>
      <c r="S245" s="6"/>
    </row>
    <row r="246" spans="1:19" ht="14.25" customHeight="1" x14ac:dyDescent="0.15">
      <c r="A246" s="196" t="s">
        <v>97</v>
      </c>
      <c r="B246" s="171"/>
      <c r="C246" s="181"/>
      <c r="D246" s="181"/>
      <c r="E246" s="181"/>
      <c r="F246" s="181"/>
      <c r="G246" s="181"/>
      <c r="H246" s="181"/>
      <c r="I246" s="181"/>
      <c r="J246" s="182"/>
      <c r="K246" s="209"/>
      <c r="L246" s="210"/>
      <c r="M246" s="210"/>
      <c r="N246" s="210"/>
      <c r="O246" s="210"/>
      <c r="P246" s="6"/>
      <c r="Q246" s="6"/>
      <c r="R246" s="6"/>
      <c r="S246" s="6"/>
    </row>
    <row r="247" spans="1:19" ht="14.25" customHeight="1" x14ac:dyDescent="0.15">
      <c r="A247" s="302" t="s">
        <v>99</v>
      </c>
      <c r="B247" s="171"/>
      <c r="C247" s="178">
        <v>2276</v>
      </c>
      <c r="D247" s="178"/>
      <c r="E247" s="173" t="s">
        <v>85</v>
      </c>
      <c r="F247" s="174"/>
      <c r="G247" s="175">
        <v>1309</v>
      </c>
      <c r="H247" s="175"/>
      <c r="I247" s="176">
        <v>2979000</v>
      </c>
      <c r="J247" s="177"/>
      <c r="K247" s="209"/>
      <c r="L247" s="210"/>
      <c r="M247" s="210"/>
      <c r="N247" s="210"/>
      <c r="O247" s="210"/>
      <c r="P247" s="6"/>
      <c r="Q247" s="6"/>
      <c r="R247" s="6"/>
      <c r="S247" s="6"/>
    </row>
    <row r="248" spans="1:19" ht="14.25" customHeight="1" x14ac:dyDescent="0.15">
      <c r="A248" s="302" t="s">
        <v>86</v>
      </c>
      <c r="B248" s="171"/>
      <c r="C248" s="178">
        <v>2276</v>
      </c>
      <c r="D248" s="178"/>
      <c r="E248" s="173" t="s">
        <v>85</v>
      </c>
      <c r="F248" s="174"/>
      <c r="G248" s="179">
        <v>49.98</v>
      </c>
      <c r="H248" s="179"/>
      <c r="I248" s="176">
        <v>114000</v>
      </c>
      <c r="J248" s="177"/>
      <c r="K248" s="209"/>
      <c r="L248" s="210"/>
      <c r="M248" s="210"/>
      <c r="N248" s="210"/>
      <c r="O248" s="210"/>
      <c r="P248" s="6"/>
      <c r="Q248" s="6"/>
      <c r="R248" s="6"/>
      <c r="S248" s="6"/>
    </row>
    <row r="249" spans="1:19" ht="14.25" customHeight="1" x14ac:dyDescent="0.15">
      <c r="A249" s="302" t="s">
        <v>177</v>
      </c>
      <c r="B249" s="171"/>
      <c r="C249" s="172">
        <v>1</v>
      </c>
      <c r="D249" s="172"/>
      <c r="E249" s="173" t="s">
        <v>83</v>
      </c>
      <c r="F249" s="174"/>
      <c r="G249" s="175">
        <v>101150</v>
      </c>
      <c r="H249" s="175"/>
      <c r="I249" s="176">
        <v>102000</v>
      </c>
      <c r="J249" s="177"/>
      <c r="K249" s="209"/>
      <c r="L249" s="210"/>
      <c r="M249" s="210"/>
      <c r="N249" s="210"/>
      <c r="O249" s="210"/>
      <c r="P249" s="6"/>
      <c r="Q249" s="6"/>
      <c r="R249" s="6"/>
      <c r="S249" s="6"/>
    </row>
    <row r="250" spans="1:19" ht="14.25" customHeight="1" x14ac:dyDescent="0.15">
      <c r="A250" s="303" t="s">
        <v>100</v>
      </c>
      <c r="B250" s="184"/>
      <c r="C250" s="185">
        <v>3600</v>
      </c>
      <c r="D250" s="185"/>
      <c r="E250" s="186" t="s">
        <v>85</v>
      </c>
      <c r="F250" s="187"/>
      <c r="G250" s="188">
        <v>220.15</v>
      </c>
      <c r="H250" s="188"/>
      <c r="I250" s="189">
        <v>793000</v>
      </c>
      <c r="J250" s="190"/>
      <c r="K250" s="127"/>
      <c r="L250" s="125"/>
      <c r="M250" s="125"/>
      <c r="N250" s="125"/>
      <c r="O250" s="125"/>
      <c r="P250" s="6"/>
      <c r="Q250" s="6"/>
      <c r="R250" s="6"/>
      <c r="S250" s="6"/>
    </row>
    <row r="251" spans="1:19" ht="14.25" customHeight="1" x14ac:dyDescent="0.15">
      <c r="A251" s="128"/>
      <c r="B251" s="129"/>
      <c r="C251" s="129"/>
      <c r="D251" s="129"/>
      <c r="E251" s="129"/>
      <c r="F251" s="129"/>
      <c r="G251" s="129"/>
      <c r="H251" s="129"/>
      <c r="I251" s="129"/>
      <c r="J251" s="130"/>
      <c r="K251" s="128"/>
      <c r="L251" s="129"/>
      <c r="M251" s="129"/>
      <c r="N251" s="129"/>
      <c r="O251" s="130"/>
      <c r="P251" s="14"/>
      <c r="Q251" s="6"/>
      <c r="R251" s="6"/>
      <c r="S251" s="6"/>
    </row>
    <row r="252" spans="1:19" ht="14.25" customHeight="1" x14ac:dyDescent="0.15">
      <c r="A252" s="131" t="s">
        <v>101</v>
      </c>
      <c r="B252" s="132"/>
      <c r="C252" s="152"/>
      <c r="D252" s="152"/>
      <c r="E252" s="152"/>
      <c r="F252" s="152"/>
      <c r="G252" s="152"/>
      <c r="H252" s="152"/>
      <c r="I252" s="153">
        <v>1333000</v>
      </c>
      <c r="J252" s="154"/>
      <c r="K252" s="155">
        <v>1773000</v>
      </c>
      <c r="L252" s="153"/>
      <c r="M252" s="153"/>
      <c r="N252" s="153"/>
      <c r="O252" s="154"/>
      <c r="P252" s="14"/>
      <c r="Q252" s="6"/>
      <c r="R252" s="6"/>
      <c r="S252" s="6"/>
    </row>
    <row r="253" spans="1:19" ht="28" customHeight="1" x14ac:dyDescent="0.15">
      <c r="A253" s="137" t="s">
        <v>178</v>
      </c>
      <c r="B253" s="138"/>
      <c r="C253" s="212">
        <v>2800</v>
      </c>
      <c r="D253" s="212"/>
      <c r="E253" s="213" t="s">
        <v>85</v>
      </c>
      <c r="F253" s="214"/>
      <c r="G253" s="215">
        <v>476</v>
      </c>
      <c r="H253" s="215"/>
      <c r="I253" s="216">
        <v>1332800</v>
      </c>
      <c r="J253" s="217"/>
      <c r="K253" s="140"/>
      <c r="L253" s="141"/>
      <c r="M253" s="141"/>
      <c r="N253" s="141"/>
      <c r="O253" s="142"/>
      <c r="P253" s="14"/>
      <c r="Q253" s="6"/>
      <c r="R253" s="6"/>
      <c r="S253" s="6"/>
    </row>
    <row r="254" spans="1:19" ht="14.25" customHeight="1" x14ac:dyDescent="0.15">
      <c r="A254" s="128"/>
      <c r="B254" s="129"/>
      <c r="C254" s="129"/>
      <c r="D254" s="129"/>
      <c r="E254" s="129"/>
      <c r="F254" s="129"/>
      <c r="G254" s="129"/>
      <c r="H254" s="129"/>
      <c r="I254" s="129"/>
      <c r="J254" s="130"/>
      <c r="K254" s="128"/>
      <c r="L254" s="129"/>
      <c r="M254" s="129"/>
      <c r="N254" s="129"/>
      <c r="O254" s="130"/>
      <c r="P254" s="14"/>
      <c r="Q254" s="6"/>
      <c r="R254" s="6"/>
      <c r="S254" s="6"/>
    </row>
    <row r="255" spans="1:19" ht="14.25" customHeight="1" x14ac:dyDescent="0.15">
      <c r="A255" s="131" t="s">
        <v>104</v>
      </c>
      <c r="B255" s="132"/>
      <c r="C255" s="152"/>
      <c r="D255" s="152"/>
      <c r="E255" s="152"/>
      <c r="F255" s="152"/>
      <c r="G255" s="152"/>
      <c r="H255" s="152"/>
      <c r="I255" s="226" t="s">
        <v>114</v>
      </c>
      <c r="J255" s="133"/>
      <c r="K255" s="131" t="s">
        <v>115</v>
      </c>
      <c r="L255" s="132"/>
      <c r="M255" s="132"/>
      <c r="N255" s="132"/>
      <c r="O255" s="133"/>
      <c r="P255" s="14"/>
      <c r="Q255" s="6"/>
      <c r="R255" s="6"/>
      <c r="S255" s="6"/>
    </row>
    <row r="256" spans="1:19" ht="14.25" customHeight="1" x14ac:dyDescent="0.15">
      <c r="A256" s="227" t="s">
        <v>116</v>
      </c>
      <c r="B256" s="228"/>
      <c r="C256" s="228"/>
      <c r="D256" s="228"/>
      <c r="E256" s="228"/>
      <c r="F256" s="228"/>
      <c r="G256" s="228"/>
      <c r="H256" s="228"/>
      <c r="I256" s="228"/>
      <c r="J256" s="229"/>
      <c r="K256" s="149"/>
      <c r="L256" s="150"/>
      <c r="M256" s="150"/>
      <c r="N256" s="150"/>
      <c r="O256" s="151"/>
      <c r="P256" s="14"/>
      <c r="Q256" s="6"/>
      <c r="R256" s="6"/>
      <c r="S256" s="6"/>
    </row>
    <row r="257" spans="1:19" ht="14.25" customHeight="1" x14ac:dyDescent="0.15">
      <c r="A257" s="128"/>
      <c r="B257" s="129"/>
      <c r="C257" s="129"/>
      <c r="D257" s="129"/>
      <c r="E257" s="129"/>
      <c r="F257" s="129"/>
      <c r="G257" s="129"/>
      <c r="H257" s="129"/>
      <c r="I257" s="129"/>
      <c r="J257" s="130"/>
      <c r="K257" s="128"/>
      <c r="L257" s="129"/>
      <c r="M257" s="129"/>
      <c r="N257" s="129"/>
      <c r="O257" s="130"/>
      <c r="P257" s="14"/>
      <c r="Q257" s="6"/>
      <c r="R257" s="6"/>
      <c r="S257" s="6"/>
    </row>
    <row r="258" spans="1:19" ht="14.25" customHeight="1" x14ac:dyDescent="0.15">
      <c r="A258" s="131" t="s">
        <v>108</v>
      </c>
      <c r="B258" s="132"/>
      <c r="C258" s="152"/>
      <c r="D258" s="152"/>
      <c r="E258" s="152"/>
      <c r="F258" s="152"/>
      <c r="G258" s="152"/>
      <c r="H258" s="152"/>
      <c r="I258" s="153">
        <v>1165000</v>
      </c>
      <c r="J258" s="154"/>
      <c r="K258" s="155">
        <v>1550000</v>
      </c>
      <c r="L258" s="153"/>
      <c r="M258" s="153"/>
      <c r="N258" s="153"/>
      <c r="O258" s="154"/>
      <c r="P258" s="14"/>
      <c r="Q258" s="6"/>
      <c r="R258" s="6"/>
      <c r="S258" s="6"/>
    </row>
    <row r="259" spans="1:19" ht="42" customHeight="1" x14ac:dyDescent="0.15">
      <c r="A259" s="137" t="s">
        <v>179</v>
      </c>
      <c r="B259" s="138"/>
      <c r="C259" s="280" t="s">
        <v>180</v>
      </c>
      <c r="D259" s="281"/>
      <c r="E259" s="232" t="s">
        <v>78</v>
      </c>
      <c r="F259" s="233"/>
      <c r="G259" s="230" t="s">
        <v>181</v>
      </c>
      <c r="H259" s="138"/>
      <c r="I259" s="230" t="s">
        <v>182</v>
      </c>
      <c r="J259" s="139"/>
      <c r="K259" s="234"/>
      <c r="L259" s="138"/>
      <c r="M259" s="138"/>
      <c r="N259" s="138"/>
      <c r="O259" s="139"/>
      <c r="P259" s="14"/>
      <c r="Q259" s="6"/>
      <c r="R259" s="6"/>
      <c r="S259" s="6"/>
    </row>
    <row r="260" spans="1:19" ht="14.25" customHeight="1" x14ac:dyDescent="0.15">
      <c r="A260" s="128"/>
      <c r="B260" s="129"/>
      <c r="C260" s="129"/>
      <c r="D260" s="129"/>
      <c r="E260" s="129"/>
      <c r="F260" s="129"/>
      <c r="G260" s="129"/>
      <c r="H260" s="129"/>
      <c r="I260" s="129"/>
      <c r="J260" s="130"/>
      <c r="K260" s="128"/>
      <c r="L260" s="129"/>
      <c r="M260" s="129"/>
      <c r="N260" s="129"/>
      <c r="O260" s="130"/>
      <c r="P260" s="14"/>
      <c r="Q260" s="6"/>
      <c r="R260" s="6"/>
      <c r="S260" s="6"/>
    </row>
    <row r="261" spans="1:19" ht="14.25" customHeight="1" x14ac:dyDescent="0.15">
      <c r="A261" s="131" t="s">
        <v>113</v>
      </c>
      <c r="B261" s="132"/>
      <c r="C261" s="152"/>
      <c r="D261" s="152"/>
      <c r="E261" s="152"/>
      <c r="F261" s="152"/>
      <c r="G261" s="152"/>
      <c r="H261" s="152"/>
      <c r="I261" s="226" t="s">
        <v>114</v>
      </c>
      <c r="J261" s="133"/>
      <c r="K261" s="131" t="s">
        <v>115</v>
      </c>
      <c r="L261" s="132"/>
      <c r="M261" s="132"/>
      <c r="N261" s="132"/>
      <c r="O261" s="133"/>
      <c r="P261" s="14"/>
      <c r="Q261" s="6"/>
      <c r="R261" s="6"/>
      <c r="S261" s="6"/>
    </row>
    <row r="262" spans="1:19" ht="14.25" customHeight="1" x14ac:dyDescent="0.15">
      <c r="A262" s="227" t="s">
        <v>116</v>
      </c>
      <c r="B262" s="228"/>
      <c r="C262" s="228"/>
      <c r="D262" s="228"/>
      <c r="E262" s="228"/>
      <c r="F262" s="228"/>
      <c r="G262" s="228"/>
      <c r="H262" s="228"/>
      <c r="I262" s="228"/>
      <c r="J262" s="229"/>
      <c r="K262" s="149"/>
      <c r="L262" s="150"/>
      <c r="M262" s="150"/>
      <c r="N262" s="150"/>
      <c r="O262" s="151"/>
      <c r="P262" s="14"/>
      <c r="Q262" s="6"/>
      <c r="R262" s="6"/>
      <c r="S262" s="6"/>
    </row>
    <row r="263" spans="1:19" ht="14.25" customHeight="1" x14ac:dyDescent="0.15">
      <c r="A263" s="128"/>
      <c r="B263" s="129"/>
      <c r="C263" s="129"/>
      <c r="D263" s="129"/>
      <c r="E263" s="129"/>
      <c r="F263" s="129"/>
      <c r="G263" s="129"/>
      <c r="H263" s="129"/>
      <c r="I263" s="129"/>
      <c r="J263" s="130"/>
      <c r="K263" s="128"/>
      <c r="L263" s="129"/>
      <c r="M263" s="129"/>
      <c r="N263" s="129"/>
      <c r="O263" s="130"/>
      <c r="P263" s="14"/>
      <c r="Q263" s="6"/>
      <c r="R263" s="6"/>
      <c r="S263" s="6"/>
    </row>
    <row r="264" spans="1:19" ht="14.5" customHeight="1" x14ac:dyDescent="0.15">
      <c r="A264" s="131" t="s">
        <v>117</v>
      </c>
      <c r="B264" s="132"/>
      <c r="C264" s="152"/>
      <c r="D264" s="152"/>
      <c r="E264" s="152"/>
      <c r="F264" s="152"/>
      <c r="G264" s="152"/>
      <c r="H264" s="152"/>
      <c r="I264" s="153">
        <v>1905000</v>
      </c>
      <c r="J264" s="154"/>
      <c r="K264" s="155">
        <v>2534000</v>
      </c>
      <c r="L264" s="153"/>
      <c r="M264" s="153"/>
      <c r="N264" s="153"/>
      <c r="O264" s="154"/>
      <c r="P264" s="14"/>
      <c r="Q264" s="6"/>
      <c r="R264" s="6"/>
      <c r="S264" s="6"/>
    </row>
    <row r="265" spans="1:19" ht="15" customHeight="1" x14ac:dyDescent="0.15">
      <c r="A265" s="156" t="s">
        <v>118</v>
      </c>
      <c r="B265" s="157"/>
      <c r="C265" s="158">
        <v>12</v>
      </c>
      <c r="D265" s="158"/>
      <c r="E265" s="159" t="s">
        <v>83</v>
      </c>
      <c r="F265" s="160"/>
      <c r="G265" s="161">
        <v>9000</v>
      </c>
      <c r="H265" s="161"/>
      <c r="I265" s="300">
        <v>108000</v>
      </c>
      <c r="J265" s="301"/>
      <c r="K265" s="206"/>
      <c r="L265" s="207"/>
      <c r="M265" s="207"/>
      <c r="N265" s="207"/>
      <c r="O265" s="208"/>
      <c r="P265" s="14"/>
      <c r="Q265" s="6"/>
      <c r="R265" s="6"/>
      <c r="S265" s="6"/>
    </row>
    <row r="266" spans="1:19" ht="14.25" customHeight="1" x14ac:dyDescent="0.15">
      <c r="A266" s="170" t="s">
        <v>183</v>
      </c>
      <c r="B266" s="171"/>
      <c r="C266" s="178">
        <v>4600</v>
      </c>
      <c r="D266" s="178"/>
      <c r="E266" s="173" t="s">
        <v>85</v>
      </c>
      <c r="F266" s="174"/>
      <c r="G266" s="179">
        <v>33.32</v>
      </c>
      <c r="H266" s="179"/>
      <c r="I266" s="283">
        <v>154000</v>
      </c>
      <c r="J266" s="284"/>
      <c r="K266" s="209"/>
      <c r="L266" s="210"/>
      <c r="M266" s="210"/>
      <c r="N266" s="210"/>
      <c r="O266" s="211"/>
      <c r="P266" s="14"/>
      <c r="Q266" s="6"/>
      <c r="R266" s="6"/>
      <c r="S266" s="6"/>
    </row>
    <row r="267" spans="1:19" ht="14.25" customHeight="1" x14ac:dyDescent="0.15">
      <c r="A267" s="170" t="s">
        <v>119</v>
      </c>
      <c r="B267" s="171"/>
      <c r="C267" s="178">
        <v>15360</v>
      </c>
      <c r="D267" s="178"/>
      <c r="E267" s="173" t="s">
        <v>85</v>
      </c>
      <c r="F267" s="174"/>
      <c r="G267" s="179">
        <v>35.700000000000003</v>
      </c>
      <c r="H267" s="179"/>
      <c r="I267" s="283">
        <v>549000</v>
      </c>
      <c r="J267" s="284"/>
      <c r="K267" s="209"/>
      <c r="L267" s="210"/>
      <c r="M267" s="210"/>
      <c r="N267" s="210"/>
      <c r="O267" s="211"/>
      <c r="P267" s="14"/>
      <c r="Q267" s="6"/>
      <c r="R267" s="6"/>
      <c r="S267" s="6"/>
    </row>
    <row r="268" spans="1:19" ht="14.25" customHeight="1" x14ac:dyDescent="0.15">
      <c r="A268" s="170" t="s">
        <v>120</v>
      </c>
      <c r="B268" s="171"/>
      <c r="C268" s="178">
        <v>2400</v>
      </c>
      <c r="D268" s="178"/>
      <c r="E268" s="173" t="s">
        <v>85</v>
      </c>
      <c r="F268" s="174"/>
      <c r="G268" s="179">
        <v>23.8</v>
      </c>
      <c r="H268" s="179"/>
      <c r="I268" s="283">
        <v>58000</v>
      </c>
      <c r="J268" s="284"/>
      <c r="K268" s="209"/>
      <c r="L268" s="210"/>
      <c r="M268" s="210"/>
      <c r="N268" s="210"/>
      <c r="O268" s="211"/>
      <c r="P268" s="14"/>
      <c r="Q268" s="6"/>
      <c r="R268" s="6"/>
      <c r="S268" s="6"/>
    </row>
    <row r="269" spans="1:19" ht="14.25" customHeight="1" x14ac:dyDescent="0.15">
      <c r="A269" s="170" t="s">
        <v>123</v>
      </c>
      <c r="B269" s="171"/>
      <c r="C269" s="172">
        <v>1</v>
      </c>
      <c r="D269" s="172"/>
      <c r="E269" s="173" t="s">
        <v>124</v>
      </c>
      <c r="F269" s="174"/>
      <c r="G269" s="175">
        <v>500000</v>
      </c>
      <c r="H269" s="175"/>
      <c r="I269" s="283">
        <v>500000</v>
      </c>
      <c r="J269" s="284"/>
      <c r="K269" s="209"/>
      <c r="L269" s="210"/>
      <c r="M269" s="210"/>
      <c r="N269" s="210"/>
      <c r="O269" s="211"/>
      <c r="P269" s="14"/>
      <c r="Q269" s="6"/>
      <c r="R269" s="6"/>
      <c r="S269" s="6"/>
    </row>
    <row r="270" spans="1:19" ht="14.25" customHeight="1" x14ac:dyDescent="0.15">
      <c r="A270" s="170" t="s">
        <v>184</v>
      </c>
      <c r="B270" s="171"/>
      <c r="C270" s="172">
        <v>165</v>
      </c>
      <c r="D270" s="172"/>
      <c r="E270" s="173" t="s">
        <v>122</v>
      </c>
      <c r="F270" s="174"/>
      <c r="G270" s="179">
        <v>350</v>
      </c>
      <c r="H270" s="179"/>
      <c r="I270" s="283">
        <v>58000</v>
      </c>
      <c r="J270" s="284"/>
      <c r="K270" s="209"/>
      <c r="L270" s="210"/>
      <c r="M270" s="210"/>
      <c r="N270" s="210"/>
      <c r="O270" s="211"/>
      <c r="P270" s="14"/>
      <c r="Q270" s="6"/>
      <c r="R270" s="6"/>
      <c r="S270" s="6"/>
    </row>
    <row r="271" spans="1:19" ht="14.25" customHeight="1" x14ac:dyDescent="0.15">
      <c r="A271" s="170" t="s">
        <v>125</v>
      </c>
      <c r="B271" s="171"/>
      <c r="C271" s="172">
        <v>1</v>
      </c>
      <c r="D271" s="172"/>
      <c r="E271" s="173" t="s">
        <v>83</v>
      </c>
      <c r="F271" s="174"/>
      <c r="G271" s="175">
        <v>33915</v>
      </c>
      <c r="H271" s="175"/>
      <c r="I271" s="283">
        <v>34000</v>
      </c>
      <c r="J271" s="284"/>
      <c r="K271" s="209"/>
      <c r="L271" s="210"/>
      <c r="M271" s="210"/>
      <c r="N271" s="210"/>
      <c r="O271" s="211"/>
      <c r="P271" s="14"/>
      <c r="Q271" s="6"/>
      <c r="R271" s="6"/>
      <c r="S271" s="6"/>
    </row>
    <row r="272" spans="1:19" ht="14.25" customHeight="1" x14ac:dyDescent="0.15">
      <c r="A272" s="170" t="s">
        <v>126</v>
      </c>
      <c r="B272" s="171"/>
      <c r="C272" s="172">
        <v>560</v>
      </c>
      <c r="D272" s="172"/>
      <c r="E272" s="173" t="s">
        <v>122</v>
      </c>
      <c r="F272" s="174"/>
      <c r="G272" s="179">
        <v>351.05</v>
      </c>
      <c r="H272" s="179"/>
      <c r="I272" s="283">
        <v>197000</v>
      </c>
      <c r="J272" s="284"/>
      <c r="K272" s="209"/>
      <c r="L272" s="210"/>
      <c r="M272" s="210"/>
      <c r="N272" s="210"/>
      <c r="O272" s="211"/>
      <c r="P272" s="14"/>
      <c r="Q272" s="6"/>
      <c r="R272" s="6"/>
      <c r="S272" s="6"/>
    </row>
    <row r="273" spans="1:19" ht="14.25" customHeight="1" x14ac:dyDescent="0.15">
      <c r="A273" s="170" t="s">
        <v>128</v>
      </c>
      <c r="B273" s="171"/>
      <c r="C273" s="172">
        <v>1</v>
      </c>
      <c r="D273" s="172"/>
      <c r="E273" s="173" t="s">
        <v>124</v>
      </c>
      <c r="F273" s="174"/>
      <c r="G273" s="175">
        <v>59500</v>
      </c>
      <c r="H273" s="175"/>
      <c r="I273" s="283">
        <v>60000</v>
      </c>
      <c r="J273" s="284"/>
      <c r="K273" s="209"/>
      <c r="L273" s="210"/>
      <c r="M273" s="210"/>
      <c r="N273" s="210"/>
      <c r="O273" s="211"/>
      <c r="P273" s="14"/>
      <c r="Q273" s="6"/>
      <c r="R273" s="6"/>
      <c r="S273" s="6"/>
    </row>
    <row r="274" spans="1:19" ht="14.25" customHeight="1" x14ac:dyDescent="0.15">
      <c r="A274" s="170" t="s">
        <v>129</v>
      </c>
      <c r="B274" s="171"/>
      <c r="C274" s="172">
        <v>27</v>
      </c>
      <c r="D274" s="172"/>
      <c r="E274" s="173" t="s">
        <v>83</v>
      </c>
      <c r="F274" s="174"/>
      <c r="G274" s="179">
        <v>892.5</v>
      </c>
      <c r="H274" s="179"/>
      <c r="I274" s="283">
        <v>25000</v>
      </c>
      <c r="J274" s="284"/>
      <c r="K274" s="209"/>
      <c r="L274" s="210"/>
      <c r="M274" s="210"/>
      <c r="N274" s="210"/>
      <c r="O274" s="211"/>
      <c r="P274" s="14"/>
      <c r="Q274" s="6"/>
      <c r="R274" s="6"/>
      <c r="S274" s="6"/>
    </row>
    <row r="275" spans="1:19" ht="14.25" customHeight="1" x14ac:dyDescent="0.15">
      <c r="A275" s="170" t="s">
        <v>130</v>
      </c>
      <c r="B275" s="171"/>
      <c r="C275" s="172">
        <v>1</v>
      </c>
      <c r="D275" s="172"/>
      <c r="E275" s="173" t="s">
        <v>124</v>
      </c>
      <c r="F275" s="174"/>
      <c r="G275" s="175">
        <v>23800</v>
      </c>
      <c r="H275" s="175"/>
      <c r="I275" s="283">
        <v>24000</v>
      </c>
      <c r="J275" s="284"/>
      <c r="K275" s="209"/>
      <c r="L275" s="210"/>
      <c r="M275" s="210"/>
      <c r="N275" s="210"/>
      <c r="O275" s="211"/>
      <c r="P275" s="14"/>
      <c r="Q275" s="6"/>
      <c r="R275" s="6"/>
      <c r="S275" s="6"/>
    </row>
    <row r="276" spans="1:19" ht="14.25" customHeight="1" x14ac:dyDescent="0.15">
      <c r="A276" s="170" t="s">
        <v>185</v>
      </c>
      <c r="B276" s="171"/>
      <c r="C276" s="172">
        <v>500</v>
      </c>
      <c r="D276" s="172"/>
      <c r="E276" s="173" t="s">
        <v>85</v>
      </c>
      <c r="F276" s="174"/>
      <c r="G276" s="179">
        <v>75</v>
      </c>
      <c r="H276" s="179"/>
      <c r="I276" s="283">
        <v>37500</v>
      </c>
      <c r="J276" s="284"/>
      <c r="K276" s="209"/>
      <c r="L276" s="210"/>
      <c r="M276" s="210"/>
      <c r="N276" s="210"/>
      <c r="O276" s="211"/>
      <c r="P276" s="14"/>
      <c r="Q276" s="6"/>
      <c r="R276" s="6"/>
      <c r="S276" s="6"/>
    </row>
    <row r="277" spans="1:19" ht="14.25" customHeight="1" x14ac:dyDescent="0.15">
      <c r="A277" s="183" t="s">
        <v>133</v>
      </c>
      <c r="B277" s="184"/>
      <c r="C277" s="201">
        <v>1</v>
      </c>
      <c r="D277" s="201"/>
      <c r="E277" s="186" t="s">
        <v>124</v>
      </c>
      <c r="F277" s="187"/>
      <c r="G277" s="202">
        <v>100000</v>
      </c>
      <c r="H277" s="202"/>
      <c r="I277" s="285">
        <v>100000</v>
      </c>
      <c r="J277" s="286"/>
      <c r="K277" s="127"/>
      <c r="L277" s="125"/>
      <c r="M277" s="125"/>
      <c r="N277" s="125"/>
      <c r="O277" s="126"/>
      <c r="P277" s="14"/>
      <c r="Q277" s="6"/>
      <c r="R277" s="6"/>
      <c r="S277" s="6"/>
    </row>
    <row r="278" spans="1:19" ht="14.25" customHeight="1" x14ac:dyDescent="0.15">
      <c r="A278" s="128"/>
      <c r="B278" s="129"/>
      <c r="C278" s="129"/>
      <c r="D278" s="129"/>
      <c r="E278" s="129"/>
      <c r="F278" s="129"/>
      <c r="G278" s="129"/>
      <c r="H278" s="129"/>
      <c r="I278" s="129"/>
      <c r="J278" s="130"/>
      <c r="K278" s="128"/>
      <c r="L278" s="129"/>
      <c r="M278" s="129"/>
      <c r="N278" s="129"/>
      <c r="O278" s="130"/>
      <c r="P278" s="14"/>
      <c r="Q278" s="6"/>
      <c r="R278" s="6"/>
      <c r="S278" s="6"/>
    </row>
    <row r="279" spans="1:19" ht="14.25" customHeight="1" x14ac:dyDescent="0.15">
      <c r="A279" s="131" t="s">
        <v>134</v>
      </c>
      <c r="B279" s="132"/>
      <c r="C279" s="152"/>
      <c r="D279" s="152"/>
      <c r="E279" s="152"/>
      <c r="F279" s="152"/>
      <c r="G279" s="152"/>
      <c r="H279" s="152"/>
      <c r="I279" s="135">
        <v>1069000</v>
      </c>
      <c r="J279" s="136"/>
      <c r="K279" s="134">
        <v>1422000</v>
      </c>
      <c r="L279" s="135"/>
      <c r="M279" s="135"/>
      <c r="N279" s="135"/>
      <c r="O279" s="136"/>
      <c r="P279" s="14"/>
      <c r="Q279" s="6"/>
      <c r="R279" s="6"/>
      <c r="S279" s="6"/>
    </row>
    <row r="280" spans="1:19" ht="14.25" customHeight="1" x14ac:dyDescent="0.15">
      <c r="A280" s="156" t="s">
        <v>135</v>
      </c>
      <c r="B280" s="157"/>
      <c r="C280" s="203">
        <v>14300</v>
      </c>
      <c r="D280" s="203"/>
      <c r="E280" s="159" t="s">
        <v>85</v>
      </c>
      <c r="F280" s="160"/>
      <c r="G280" s="204">
        <v>12</v>
      </c>
      <c r="H280" s="204"/>
      <c r="I280" s="300">
        <v>171600</v>
      </c>
      <c r="J280" s="301"/>
      <c r="K280" s="206"/>
      <c r="L280" s="207"/>
      <c r="M280" s="207"/>
      <c r="N280" s="207"/>
      <c r="O280" s="208"/>
      <c r="P280" s="14"/>
      <c r="Q280" s="6"/>
      <c r="R280" s="6"/>
      <c r="S280" s="6"/>
    </row>
    <row r="281" spans="1:19" ht="14.25" customHeight="1" x14ac:dyDescent="0.15">
      <c r="A281" s="170" t="s">
        <v>137</v>
      </c>
      <c r="B281" s="171"/>
      <c r="C281" s="178">
        <v>6200</v>
      </c>
      <c r="D281" s="178"/>
      <c r="E281" s="173" t="s">
        <v>85</v>
      </c>
      <c r="F281" s="174"/>
      <c r="G281" s="179">
        <v>65.45</v>
      </c>
      <c r="H281" s="179"/>
      <c r="I281" s="283">
        <v>406000</v>
      </c>
      <c r="J281" s="284"/>
      <c r="K281" s="209"/>
      <c r="L281" s="210"/>
      <c r="M281" s="210"/>
      <c r="N281" s="210"/>
      <c r="O281" s="211"/>
      <c r="P281" s="14"/>
      <c r="Q281" s="6"/>
      <c r="R281" s="6"/>
      <c r="S281" s="6"/>
    </row>
    <row r="282" spans="1:19" ht="14.25" customHeight="1" x14ac:dyDescent="0.15">
      <c r="A282" s="183" t="s">
        <v>186</v>
      </c>
      <c r="B282" s="184"/>
      <c r="C282" s="185">
        <v>15000</v>
      </c>
      <c r="D282" s="185"/>
      <c r="E282" s="186" t="s">
        <v>85</v>
      </c>
      <c r="F282" s="187"/>
      <c r="G282" s="188">
        <v>32.729999999999997</v>
      </c>
      <c r="H282" s="188"/>
      <c r="I282" s="285">
        <v>490875</v>
      </c>
      <c r="J282" s="286"/>
      <c r="K282" s="127"/>
      <c r="L282" s="125"/>
      <c r="M282" s="125"/>
      <c r="N282" s="125"/>
      <c r="O282" s="126"/>
      <c r="P282" s="14"/>
      <c r="Q282" s="6"/>
      <c r="R282" s="6"/>
      <c r="S282" s="6"/>
    </row>
    <row r="283" spans="1:19" ht="14.25" customHeight="1" x14ac:dyDescent="0.15">
      <c r="A283" s="128"/>
      <c r="B283" s="129"/>
      <c r="C283" s="129"/>
      <c r="D283" s="129"/>
      <c r="E283" s="129"/>
      <c r="F283" s="129"/>
      <c r="G283" s="129"/>
      <c r="H283" s="129"/>
      <c r="I283" s="129"/>
      <c r="J283" s="130"/>
      <c r="K283" s="128"/>
      <c r="L283" s="129"/>
      <c r="M283" s="129"/>
      <c r="N283" s="129"/>
      <c r="O283" s="130"/>
      <c r="P283" s="14"/>
      <c r="Q283" s="6"/>
      <c r="R283" s="6"/>
      <c r="S283" s="6"/>
    </row>
    <row r="284" spans="1:19" ht="14.25" customHeight="1" x14ac:dyDescent="0.15">
      <c r="A284" s="131" t="s">
        <v>139</v>
      </c>
      <c r="B284" s="132"/>
      <c r="C284" s="152"/>
      <c r="D284" s="152"/>
      <c r="E284" s="152"/>
      <c r="F284" s="152"/>
      <c r="G284" s="152"/>
      <c r="H284" s="152"/>
      <c r="I284" s="135">
        <v>2692000</v>
      </c>
      <c r="J284" s="136"/>
      <c r="K284" s="134">
        <v>3581000</v>
      </c>
      <c r="L284" s="135"/>
      <c r="M284" s="135"/>
      <c r="N284" s="135"/>
      <c r="O284" s="136"/>
      <c r="P284" s="14"/>
      <c r="Q284" s="6"/>
      <c r="R284" s="6"/>
      <c r="S284" s="6"/>
    </row>
    <row r="285" spans="1:19" ht="15" customHeight="1" x14ac:dyDescent="0.15">
      <c r="A285" s="156" t="s">
        <v>187</v>
      </c>
      <c r="B285" s="157"/>
      <c r="C285" s="198"/>
      <c r="D285" s="198"/>
      <c r="E285" s="198"/>
      <c r="F285" s="198"/>
      <c r="G285" s="198"/>
      <c r="H285" s="198"/>
      <c r="I285" s="198"/>
      <c r="J285" s="199"/>
      <c r="K285" s="206"/>
      <c r="L285" s="207"/>
      <c r="M285" s="207"/>
      <c r="N285" s="207"/>
      <c r="O285" s="208"/>
      <c r="P285" s="14"/>
      <c r="Q285" s="6"/>
      <c r="R285" s="6"/>
      <c r="S285" s="6"/>
    </row>
    <row r="286" spans="1:19" ht="14.25" customHeight="1" x14ac:dyDescent="0.15">
      <c r="A286" s="194" t="s">
        <v>188</v>
      </c>
      <c r="B286" s="171"/>
      <c r="C286" s="178">
        <v>1200</v>
      </c>
      <c r="D286" s="178"/>
      <c r="E286" s="173" t="s">
        <v>85</v>
      </c>
      <c r="F286" s="174"/>
      <c r="G286" s="179">
        <v>27.37</v>
      </c>
      <c r="H286" s="179"/>
      <c r="I286" s="283">
        <v>33000</v>
      </c>
      <c r="J286" s="284"/>
      <c r="K286" s="209"/>
      <c r="L286" s="210"/>
      <c r="M286" s="210"/>
      <c r="N286" s="210"/>
      <c r="O286" s="211"/>
      <c r="P286" s="14"/>
      <c r="Q286" s="6"/>
      <c r="R286" s="6"/>
      <c r="S286" s="6"/>
    </row>
    <row r="287" spans="1:19" ht="14.25" customHeight="1" x14ac:dyDescent="0.15">
      <c r="A287" s="194" t="s">
        <v>189</v>
      </c>
      <c r="B287" s="171"/>
      <c r="C287" s="172">
        <v>1</v>
      </c>
      <c r="D287" s="172"/>
      <c r="E287" s="173" t="s">
        <v>83</v>
      </c>
      <c r="F287" s="174"/>
      <c r="G287" s="175">
        <v>142800</v>
      </c>
      <c r="H287" s="175"/>
      <c r="I287" s="283">
        <v>143000</v>
      </c>
      <c r="J287" s="284"/>
      <c r="K287" s="209"/>
      <c r="L287" s="210"/>
      <c r="M287" s="210"/>
      <c r="N287" s="210"/>
      <c r="O287" s="211"/>
      <c r="P287" s="14"/>
      <c r="Q287" s="6"/>
      <c r="R287" s="6"/>
      <c r="S287" s="6"/>
    </row>
    <row r="288" spans="1:19" ht="14.25" customHeight="1" x14ac:dyDescent="0.15">
      <c r="A288" s="194" t="s">
        <v>190</v>
      </c>
      <c r="B288" s="171"/>
      <c r="C288" s="178">
        <v>1200</v>
      </c>
      <c r="D288" s="178"/>
      <c r="E288" s="173" t="s">
        <v>85</v>
      </c>
      <c r="F288" s="174"/>
      <c r="G288" s="179">
        <v>220.15</v>
      </c>
      <c r="H288" s="179"/>
      <c r="I288" s="283">
        <v>265000</v>
      </c>
      <c r="J288" s="284"/>
      <c r="K288" s="209"/>
      <c r="L288" s="210"/>
      <c r="M288" s="210"/>
      <c r="N288" s="210"/>
      <c r="O288" s="211"/>
      <c r="P288" s="14"/>
      <c r="Q288" s="6"/>
      <c r="R288" s="6"/>
      <c r="S288" s="6"/>
    </row>
    <row r="289" spans="1:19" ht="14.25" customHeight="1" x14ac:dyDescent="0.15">
      <c r="A289" s="194" t="s">
        <v>126</v>
      </c>
      <c r="B289" s="171"/>
      <c r="C289" s="172">
        <v>210</v>
      </c>
      <c r="D289" s="172"/>
      <c r="E289" s="173" t="s">
        <v>122</v>
      </c>
      <c r="F289" s="174"/>
      <c r="G289" s="179">
        <v>297.5</v>
      </c>
      <c r="H289" s="179"/>
      <c r="I289" s="283">
        <v>63000</v>
      </c>
      <c r="J289" s="284"/>
      <c r="K289" s="209"/>
      <c r="L289" s="210"/>
      <c r="M289" s="210"/>
      <c r="N289" s="210"/>
      <c r="O289" s="211"/>
      <c r="P289" s="14"/>
      <c r="Q289" s="6"/>
      <c r="R289" s="6"/>
      <c r="S289" s="6"/>
    </row>
    <row r="290" spans="1:19" ht="14.25" customHeight="1" x14ac:dyDescent="0.15">
      <c r="A290" s="194" t="s">
        <v>191</v>
      </c>
      <c r="B290" s="171"/>
      <c r="C290" s="178">
        <v>23800</v>
      </c>
      <c r="D290" s="178"/>
      <c r="E290" s="173" t="s">
        <v>85</v>
      </c>
      <c r="F290" s="174"/>
      <c r="G290" s="179">
        <v>11.9</v>
      </c>
      <c r="H290" s="179"/>
      <c r="I290" s="283">
        <v>283220</v>
      </c>
      <c r="J290" s="284"/>
      <c r="K290" s="209"/>
      <c r="L290" s="210"/>
      <c r="M290" s="210"/>
      <c r="N290" s="210"/>
      <c r="O290" s="211"/>
      <c r="P290" s="14"/>
      <c r="Q290" s="6"/>
      <c r="R290" s="6"/>
      <c r="S290" s="6"/>
    </row>
    <row r="291" spans="1:19" ht="14.25" customHeight="1" x14ac:dyDescent="0.15">
      <c r="A291" s="170" t="s">
        <v>192</v>
      </c>
      <c r="B291" s="171"/>
      <c r="C291" s="181"/>
      <c r="D291" s="181"/>
      <c r="E291" s="181"/>
      <c r="F291" s="181"/>
      <c r="G291" s="181"/>
      <c r="H291" s="181"/>
      <c r="I291" s="181"/>
      <c r="J291" s="182"/>
      <c r="K291" s="209"/>
      <c r="L291" s="210"/>
      <c r="M291" s="210"/>
      <c r="N291" s="210"/>
      <c r="O291" s="211"/>
      <c r="P291" s="14"/>
      <c r="Q291" s="6"/>
      <c r="R291" s="6"/>
      <c r="S291" s="6"/>
    </row>
    <row r="292" spans="1:19" ht="14.25" customHeight="1" x14ac:dyDescent="0.15">
      <c r="A292" s="194" t="s">
        <v>188</v>
      </c>
      <c r="B292" s="171"/>
      <c r="C292" s="178">
        <v>12500</v>
      </c>
      <c r="D292" s="178"/>
      <c r="E292" s="173" t="s">
        <v>85</v>
      </c>
      <c r="F292" s="174"/>
      <c r="G292" s="179">
        <v>27.37</v>
      </c>
      <c r="H292" s="179"/>
      <c r="I292" s="283">
        <v>343000</v>
      </c>
      <c r="J292" s="284"/>
      <c r="K292" s="209"/>
      <c r="L292" s="210"/>
      <c r="M292" s="210"/>
      <c r="N292" s="210"/>
      <c r="O292" s="211"/>
      <c r="P292" s="14"/>
      <c r="Q292" s="6"/>
      <c r="R292" s="6"/>
      <c r="S292" s="6"/>
    </row>
    <row r="293" spans="1:19" ht="14.25" customHeight="1" x14ac:dyDescent="0.15">
      <c r="A293" s="194" t="s">
        <v>189</v>
      </c>
      <c r="B293" s="171"/>
      <c r="C293" s="172">
        <v>3</v>
      </c>
      <c r="D293" s="172"/>
      <c r="E293" s="173" t="s">
        <v>83</v>
      </c>
      <c r="F293" s="174"/>
      <c r="G293" s="175">
        <v>142800</v>
      </c>
      <c r="H293" s="175"/>
      <c r="I293" s="283">
        <v>429000</v>
      </c>
      <c r="J293" s="284"/>
      <c r="K293" s="209"/>
      <c r="L293" s="210"/>
      <c r="M293" s="210"/>
      <c r="N293" s="210"/>
      <c r="O293" s="211"/>
      <c r="P293" s="14"/>
      <c r="Q293" s="6"/>
      <c r="R293" s="6"/>
      <c r="S293" s="6"/>
    </row>
    <row r="294" spans="1:19" ht="14.25" customHeight="1" x14ac:dyDescent="0.15">
      <c r="A294" s="194" t="s">
        <v>193</v>
      </c>
      <c r="B294" s="171"/>
      <c r="C294" s="178">
        <v>57000</v>
      </c>
      <c r="D294" s="178"/>
      <c r="E294" s="173" t="s">
        <v>85</v>
      </c>
      <c r="F294" s="174"/>
      <c r="G294" s="179">
        <v>14.88</v>
      </c>
      <c r="H294" s="179"/>
      <c r="I294" s="283">
        <v>848000</v>
      </c>
      <c r="J294" s="284"/>
      <c r="K294" s="209"/>
      <c r="L294" s="210"/>
      <c r="M294" s="210"/>
      <c r="N294" s="210"/>
      <c r="O294" s="211"/>
      <c r="P294" s="14"/>
      <c r="Q294" s="6"/>
      <c r="R294" s="6"/>
      <c r="S294" s="6"/>
    </row>
    <row r="295" spans="1:19" ht="14.25" customHeight="1" x14ac:dyDescent="0.15">
      <c r="A295" s="279" t="s">
        <v>194</v>
      </c>
      <c r="B295" s="184"/>
      <c r="C295" s="185">
        <v>68000</v>
      </c>
      <c r="D295" s="185"/>
      <c r="E295" s="186" t="s">
        <v>85</v>
      </c>
      <c r="F295" s="187"/>
      <c r="G295" s="188">
        <v>4.17</v>
      </c>
      <c r="H295" s="188"/>
      <c r="I295" s="285">
        <v>284000</v>
      </c>
      <c r="J295" s="286"/>
      <c r="K295" s="127"/>
      <c r="L295" s="125"/>
      <c r="M295" s="125"/>
      <c r="N295" s="125"/>
      <c r="O295" s="126"/>
      <c r="P295" s="14"/>
      <c r="Q295" s="6"/>
      <c r="R295" s="6"/>
      <c r="S295" s="6"/>
    </row>
    <row r="296" spans="1:19" ht="14.25" customHeight="1" x14ac:dyDescent="0.15">
      <c r="A296" s="128"/>
      <c r="B296" s="129"/>
      <c r="C296" s="129"/>
      <c r="D296" s="129"/>
      <c r="E296" s="129"/>
      <c r="F296" s="129"/>
      <c r="G296" s="129"/>
      <c r="H296" s="129"/>
      <c r="I296" s="129"/>
      <c r="J296" s="130"/>
      <c r="K296" s="128"/>
      <c r="L296" s="129"/>
      <c r="M296" s="129"/>
      <c r="N296" s="129"/>
      <c r="O296" s="130"/>
      <c r="P296" s="14"/>
      <c r="Q296" s="6"/>
      <c r="R296" s="6"/>
      <c r="S296" s="6"/>
    </row>
    <row r="297" spans="1:19" ht="14.25" customHeight="1" x14ac:dyDescent="0.15">
      <c r="A297" s="131" t="s">
        <v>143</v>
      </c>
      <c r="B297" s="132"/>
      <c r="C297" s="152"/>
      <c r="D297" s="152"/>
      <c r="E297" s="152"/>
      <c r="F297" s="152"/>
      <c r="G297" s="152"/>
      <c r="H297" s="152"/>
      <c r="I297" s="135">
        <v>1037000</v>
      </c>
      <c r="J297" s="136"/>
      <c r="K297" s="134">
        <v>1037000</v>
      </c>
      <c r="L297" s="135"/>
      <c r="M297" s="135"/>
      <c r="N297" s="135"/>
      <c r="O297" s="136"/>
      <c r="P297" s="14"/>
      <c r="Q297" s="6"/>
      <c r="R297" s="6"/>
      <c r="S297" s="6"/>
    </row>
    <row r="298" spans="1:19" ht="14.25" customHeight="1" x14ac:dyDescent="0.15">
      <c r="A298" s="156" t="s">
        <v>195</v>
      </c>
      <c r="B298" s="157"/>
      <c r="C298" s="158">
        <v>22</v>
      </c>
      <c r="D298" s="158"/>
      <c r="E298" s="159" t="s">
        <v>83</v>
      </c>
      <c r="F298" s="160"/>
      <c r="G298" s="161">
        <v>41650</v>
      </c>
      <c r="H298" s="161"/>
      <c r="I298" s="300">
        <v>917000</v>
      </c>
      <c r="J298" s="301"/>
      <c r="K298" s="206"/>
      <c r="L298" s="207"/>
      <c r="M298" s="207"/>
      <c r="N298" s="207"/>
      <c r="O298" s="208"/>
      <c r="P298" s="14"/>
      <c r="Q298" s="6"/>
      <c r="R298" s="6"/>
      <c r="S298" s="6"/>
    </row>
    <row r="299" spans="1:19" ht="17.25" customHeight="1" x14ac:dyDescent="0.15">
      <c r="A299" s="170" t="s">
        <v>196</v>
      </c>
      <c r="B299" s="171"/>
      <c r="C299" s="172">
        <v>1</v>
      </c>
      <c r="D299" s="172"/>
      <c r="E299" s="173" t="s">
        <v>83</v>
      </c>
      <c r="F299" s="174"/>
      <c r="G299" s="175">
        <v>60000</v>
      </c>
      <c r="H299" s="175"/>
      <c r="I299" s="283">
        <v>60000</v>
      </c>
      <c r="J299" s="284"/>
      <c r="K299" s="209"/>
      <c r="L299" s="210"/>
      <c r="M299" s="210"/>
      <c r="N299" s="210"/>
      <c r="O299" s="211"/>
      <c r="P299" s="14"/>
      <c r="Q299" s="6"/>
      <c r="R299" s="6"/>
      <c r="S299" s="6"/>
    </row>
    <row r="300" spans="1:19" ht="24" customHeight="1" x14ac:dyDescent="0.15">
      <c r="A300" s="183" t="s">
        <v>149</v>
      </c>
      <c r="B300" s="184"/>
      <c r="C300" s="201">
        <v>1</v>
      </c>
      <c r="D300" s="201"/>
      <c r="E300" s="186" t="s">
        <v>83</v>
      </c>
      <c r="F300" s="187"/>
      <c r="G300" s="202">
        <v>60000</v>
      </c>
      <c r="H300" s="202"/>
      <c r="I300" s="285">
        <v>60000</v>
      </c>
      <c r="J300" s="286"/>
      <c r="K300" s="127"/>
      <c r="L300" s="125"/>
      <c r="M300" s="125"/>
      <c r="N300" s="125"/>
      <c r="O300" s="126"/>
      <c r="P300" s="14"/>
      <c r="Q300" s="6"/>
      <c r="R300" s="6"/>
      <c r="S300" s="6"/>
    </row>
    <row r="301" spans="1:19" ht="14.25" customHeight="1" x14ac:dyDescent="0.15">
      <c r="A301" s="128"/>
      <c r="B301" s="129"/>
      <c r="C301" s="129"/>
      <c r="D301" s="129"/>
      <c r="E301" s="129"/>
      <c r="F301" s="129"/>
      <c r="G301" s="129"/>
      <c r="H301" s="129"/>
      <c r="I301" s="129"/>
      <c r="J301" s="130"/>
      <c r="K301" s="128"/>
      <c r="L301" s="129"/>
      <c r="M301" s="129"/>
      <c r="N301" s="129"/>
      <c r="O301" s="130"/>
      <c r="P301" s="14"/>
      <c r="Q301" s="6"/>
      <c r="R301" s="6"/>
      <c r="S301" s="6"/>
    </row>
    <row r="302" spans="1:19" ht="14.25" customHeight="1" x14ac:dyDescent="0.15">
      <c r="A302" s="131" t="s">
        <v>150</v>
      </c>
      <c r="B302" s="132"/>
      <c r="C302" s="152"/>
      <c r="D302" s="152"/>
      <c r="E302" s="152"/>
      <c r="F302" s="152"/>
      <c r="G302" s="152"/>
      <c r="H302" s="152"/>
      <c r="I302" s="135">
        <v>479000</v>
      </c>
      <c r="J302" s="136"/>
      <c r="K302" s="134">
        <v>479000</v>
      </c>
      <c r="L302" s="135"/>
      <c r="M302" s="135"/>
      <c r="N302" s="135"/>
      <c r="O302" s="136"/>
      <c r="P302" s="14"/>
      <c r="Q302" s="6"/>
      <c r="R302" s="6"/>
      <c r="S302" s="6"/>
    </row>
    <row r="303" spans="1:19" ht="38.25" customHeight="1" x14ac:dyDescent="0.15">
      <c r="A303" s="137" t="s">
        <v>151</v>
      </c>
      <c r="B303" s="138"/>
      <c r="C303" s="273">
        <v>23</v>
      </c>
      <c r="D303" s="273"/>
      <c r="E303" s="274" t="s">
        <v>83</v>
      </c>
      <c r="F303" s="275"/>
      <c r="G303" s="276">
        <v>20825</v>
      </c>
      <c r="H303" s="276"/>
      <c r="I303" s="296">
        <v>479000</v>
      </c>
      <c r="J303" s="297"/>
      <c r="K303" s="140"/>
      <c r="L303" s="141"/>
      <c r="M303" s="141"/>
      <c r="N303" s="141"/>
      <c r="O303" s="142"/>
      <c r="P303" s="14"/>
      <c r="Q303" s="6"/>
      <c r="R303" s="6"/>
      <c r="S303" s="6"/>
    </row>
    <row r="304" spans="1:19" ht="14.25" customHeight="1" x14ac:dyDescent="0.15">
      <c r="A304" s="128"/>
      <c r="B304" s="129"/>
      <c r="C304" s="129"/>
      <c r="D304" s="129"/>
      <c r="E304" s="129"/>
      <c r="F304" s="129"/>
      <c r="G304" s="129"/>
      <c r="H304" s="129"/>
      <c r="I304" s="129"/>
      <c r="J304" s="130"/>
      <c r="K304" s="128"/>
      <c r="L304" s="129"/>
      <c r="M304" s="129"/>
      <c r="N304" s="129"/>
      <c r="O304" s="130"/>
      <c r="P304" s="14"/>
      <c r="Q304" s="6"/>
      <c r="R304" s="6"/>
      <c r="S304" s="6"/>
    </row>
    <row r="305" spans="1:19" ht="14.25" customHeight="1" x14ac:dyDescent="0.15">
      <c r="A305" s="260" t="s">
        <v>152</v>
      </c>
      <c r="B305" s="261"/>
      <c r="C305" s="262"/>
      <c r="D305" s="262"/>
      <c r="E305" s="262"/>
      <c r="F305" s="262"/>
      <c r="G305" s="262"/>
      <c r="H305" s="262"/>
      <c r="I305" s="298">
        <v>49013000</v>
      </c>
      <c r="J305" s="299"/>
      <c r="K305" s="146">
        <v>64695000</v>
      </c>
      <c r="L305" s="147"/>
      <c r="M305" s="147"/>
      <c r="N305" s="147"/>
      <c r="O305" s="148"/>
      <c r="P305" s="14"/>
      <c r="Q305" s="6"/>
      <c r="R305" s="6"/>
      <c r="S305" s="6"/>
    </row>
    <row r="306" spans="1:19" ht="14.25" customHeight="1" x14ac:dyDescent="0.15">
      <c r="A306" s="149"/>
      <c r="B306" s="150"/>
      <c r="C306" s="150"/>
      <c r="D306" s="150"/>
      <c r="E306" s="150"/>
      <c r="F306" s="150"/>
      <c r="G306" s="150"/>
      <c r="H306" s="150"/>
      <c r="I306" s="150"/>
      <c r="J306" s="151"/>
      <c r="K306" s="149"/>
      <c r="L306" s="150"/>
      <c r="M306" s="150"/>
      <c r="N306" s="150"/>
      <c r="O306" s="151"/>
      <c r="P306" s="14"/>
      <c r="Q306" s="6"/>
      <c r="R306" s="6"/>
      <c r="S306" s="6"/>
    </row>
    <row r="307" spans="1:19" ht="66" customHeight="1" x14ac:dyDescent="0.15">
      <c r="A307" s="268" t="s">
        <v>56</v>
      </c>
      <c r="B307" s="269"/>
      <c r="C307" s="269"/>
      <c r="D307" s="269"/>
      <c r="E307" s="269"/>
      <c r="F307" s="269"/>
      <c r="G307" s="269"/>
      <c r="H307" s="269"/>
      <c r="I307" s="269"/>
      <c r="J307" s="269"/>
      <c r="K307" s="269"/>
      <c r="L307" s="269"/>
      <c r="M307" s="269"/>
      <c r="N307" s="269"/>
      <c r="O307" s="269"/>
      <c r="P307" s="168"/>
      <c r="Q307" s="168"/>
      <c r="R307" s="168"/>
      <c r="S307" s="6"/>
    </row>
    <row r="308" spans="1:19" ht="17.25" customHeight="1" x14ac:dyDescent="0.15">
      <c r="A308" s="270" t="s">
        <v>197</v>
      </c>
      <c r="B308" s="271"/>
      <c r="C308" s="271"/>
      <c r="D308" s="271"/>
      <c r="E308" s="271"/>
      <c r="F308" s="271"/>
      <c r="G308" s="271"/>
      <c r="H308" s="271"/>
      <c r="I308" s="271"/>
      <c r="J308" s="271"/>
      <c r="K308" s="271"/>
      <c r="L308" s="271"/>
      <c r="M308" s="271"/>
      <c r="N308" s="271"/>
      <c r="O308" s="271"/>
      <c r="P308" s="272"/>
      <c r="Q308" s="181"/>
      <c r="R308" s="181"/>
      <c r="S308" s="6"/>
    </row>
    <row r="309" spans="1:19" ht="12.75" customHeight="1" x14ac:dyDescent="0.15">
      <c r="A309" s="9"/>
      <c r="B309" s="150"/>
      <c r="C309" s="150"/>
      <c r="D309" s="150"/>
      <c r="E309" s="150"/>
      <c r="F309" s="150"/>
      <c r="G309" s="150"/>
      <c r="H309" s="150"/>
      <c r="I309" s="150"/>
      <c r="J309" s="150"/>
      <c r="K309" s="150"/>
      <c r="L309" s="150"/>
      <c r="M309" s="150"/>
      <c r="N309" s="150"/>
      <c r="O309" s="150"/>
      <c r="P309" s="181"/>
      <c r="Q309" s="181"/>
      <c r="R309" s="181"/>
      <c r="S309" s="6"/>
    </row>
    <row r="310" spans="1:19" ht="42.75" customHeight="1" x14ac:dyDescent="0.15">
      <c r="A310" s="10"/>
      <c r="B310" s="248" t="s">
        <v>58</v>
      </c>
      <c r="C310" s="249"/>
      <c r="D310" s="250"/>
      <c r="E310" s="251" t="s">
        <v>59</v>
      </c>
      <c r="F310" s="250"/>
      <c r="G310" s="248" t="s">
        <v>60</v>
      </c>
      <c r="H310" s="250"/>
      <c r="I310" s="252" t="s">
        <v>61</v>
      </c>
      <c r="J310" s="253"/>
      <c r="K310" s="254" t="s">
        <v>62</v>
      </c>
      <c r="L310" s="255"/>
      <c r="M310" s="255"/>
      <c r="N310" s="255"/>
      <c r="O310" s="256"/>
      <c r="P310" s="209"/>
      <c r="Q310" s="210"/>
      <c r="R310" s="210"/>
      <c r="S310" s="6"/>
    </row>
    <row r="311" spans="1:19" ht="14.25" customHeight="1" x14ac:dyDescent="0.15">
      <c r="A311" s="128"/>
      <c r="B311" s="129"/>
      <c r="C311" s="129"/>
      <c r="D311" s="129"/>
      <c r="E311" s="129"/>
      <c r="F311" s="129"/>
      <c r="G311" s="129"/>
      <c r="H311" s="129"/>
      <c r="I311" s="129"/>
      <c r="J311" s="130"/>
      <c r="K311" s="128"/>
      <c r="L311" s="129"/>
      <c r="M311" s="129"/>
      <c r="N311" s="129"/>
      <c r="O311" s="130"/>
      <c r="P311" s="180"/>
      <c r="Q311" s="181"/>
      <c r="R311" s="181"/>
      <c r="S311" s="6"/>
    </row>
    <row r="312" spans="1:19" ht="14.25" customHeight="1" x14ac:dyDescent="0.15">
      <c r="A312" s="8" t="s">
        <v>63</v>
      </c>
      <c r="B312" s="152"/>
      <c r="C312" s="152"/>
      <c r="D312" s="152"/>
      <c r="E312" s="152"/>
      <c r="F312" s="152"/>
      <c r="G312" s="152"/>
      <c r="H312" s="152"/>
      <c r="I312" s="153">
        <v>8631000</v>
      </c>
      <c r="J312" s="154"/>
      <c r="K312" s="155">
        <v>11480000</v>
      </c>
      <c r="L312" s="153"/>
      <c r="M312" s="153"/>
      <c r="N312" s="153"/>
      <c r="O312" s="154"/>
      <c r="P312" s="180"/>
      <c r="Q312" s="181"/>
      <c r="R312" s="181"/>
      <c r="S312" s="6"/>
    </row>
    <row r="313" spans="1:19" ht="169" customHeight="1" x14ac:dyDescent="0.15">
      <c r="A313" s="218" t="s">
        <v>198</v>
      </c>
      <c r="B313" s="222" t="s">
        <v>199</v>
      </c>
      <c r="C313" s="207"/>
      <c r="D313" s="207"/>
      <c r="E313" s="220" t="s">
        <v>200</v>
      </c>
      <c r="F313" s="221"/>
      <c r="G313" s="222" t="s">
        <v>201</v>
      </c>
      <c r="H313" s="207"/>
      <c r="I313" s="222" t="s">
        <v>202</v>
      </c>
      <c r="J313" s="208"/>
      <c r="K313" s="223" t="s">
        <v>203</v>
      </c>
      <c r="L313" s="224"/>
      <c r="M313" s="224"/>
      <c r="N313" s="224"/>
      <c r="O313" s="225"/>
      <c r="P313" s="209"/>
      <c r="Q313" s="210"/>
      <c r="R313" s="210"/>
      <c r="S313" s="6"/>
    </row>
    <row r="314" spans="1:19" ht="127.5" customHeight="1" x14ac:dyDescent="0.15">
      <c r="A314" s="209"/>
      <c r="B314" s="210"/>
      <c r="C314" s="210"/>
      <c r="D314" s="210"/>
      <c r="E314" s="235"/>
      <c r="F314" s="235"/>
      <c r="G314" s="210"/>
      <c r="H314" s="210"/>
      <c r="I314" s="210"/>
      <c r="J314" s="211"/>
      <c r="K314" s="293" t="s">
        <v>204</v>
      </c>
      <c r="L314" s="294"/>
      <c r="M314" s="294"/>
      <c r="N314" s="294"/>
      <c r="O314" s="295"/>
      <c r="P314" s="209"/>
      <c r="Q314" s="210"/>
      <c r="R314" s="210"/>
      <c r="S314" s="6"/>
    </row>
    <row r="315" spans="1:19" ht="14.25" customHeight="1" x14ac:dyDescent="0.15">
      <c r="A315" s="209"/>
      <c r="B315" s="210"/>
      <c r="C315" s="210"/>
      <c r="D315" s="210"/>
      <c r="E315" s="235"/>
      <c r="F315" s="235"/>
      <c r="G315" s="210"/>
      <c r="H315" s="210"/>
      <c r="I315" s="210"/>
      <c r="J315" s="211"/>
      <c r="K315" s="170" t="s">
        <v>205</v>
      </c>
      <c r="L315" s="171"/>
      <c r="M315" s="171"/>
      <c r="N315" s="171"/>
      <c r="O315" s="195"/>
      <c r="P315" s="180"/>
      <c r="Q315" s="181"/>
      <c r="R315" s="181"/>
      <c r="S315" s="6"/>
    </row>
    <row r="316" spans="1:19" ht="14.25" customHeight="1" x14ac:dyDescent="0.15">
      <c r="A316" s="209"/>
      <c r="B316" s="210"/>
      <c r="C316" s="210"/>
      <c r="D316" s="210"/>
      <c r="E316" s="235"/>
      <c r="F316" s="235"/>
      <c r="G316" s="210"/>
      <c r="H316" s="210"/>
      <c r="I316" s="210"/>
      <c r="J316" s="211"/>
      <c r="K316" s="170" t="s">
        <v>160</v>
      </c>
      <c r="L316" s="171"/>
      <c r="M316" s="171"/>
      <c r="N316" s="171"/>
      <c r="O316" s="195"/>
      <c r="P316" s="180"/>
      <c r="Q316" s="181"/>
      <c r="R316" s="181"/>
      <c r="S316" s="6"/>
    </row>
    <row r="317" spans="1:19" ht="14.25" customHeight="1" x14ac:dyDescent="0.15">
      <c r="A317" s="209"/>
      <c r="B317" s="210"/>
      <c r="C317" s="210"/>
      <c r="D317" s="210"/>
      <c r="E317" s="235"/>
      <c r="F317" s="235"/>
      <c r="G317" s="210"/>
      <c r="H317" s="210"/>
      <c r="I317" s="210"/>
      <c r="J317" s="211"/>
      <c r="K317" s="170" t="s">
        <v>163</v>
      </c>
      <c r="L317" s="171"/>
      <c r="M317" s="171"/>
      <c r="N317" s="171"/>
      <c r="O317" s="195"/>
      <c r="P317" s="180"/>
      <c r="Q317" s="181"/>
      <c r="R317" s="181"/>
      <c r="S317" s="6"/>
    </row>
    <row r="318" spans="1:19" ht="42" customHeight="1" x14ac:dyDescent="0.15">
      <c r="A318" s="209"/>
      <c r="B318" s="210"/>
      <c r="C318" s="210"/>
      <c r="D318" s="210"/>
      <c r="E318" s="235"/>
      <c r="F318" s="235"/>
      <c r="G318" s="210"/>
      <c r="H318" s="210"/>
      <c r="I318" s="210"/>
      <c r="J318" s="211"/>
      <c r="K318" s="170" t="s">
        <v>206</v>
      </c>
      <c r="L318" s="171"/>
      <c r="M318" s="171"/>
      <c r="N318" s="171"/>
      <c r="O318" s="195"/>
      <c r="P318" s="209"/>
      <c r="Q318" s="210"/>
      <c r="R318" s="210"/>
      <c r="S318" s="6"/>
    </row>
    <row r="319" spans="1:19" ht="64" customHeight="1" x14ac:dyDescent="0.15">
      <c r="A319" s="209"/>
      <c r="B319" s="210"/>
      <c r="C319" s="210"/>
      <c r="D319" s="210"/>
      <c r="E319" s="235"/>
      <c r="F319" s="235"/>
      <c r="G319" s="210"/>
      <c r="H319" s="210"/>
      <c r="I319" s="210"/>
      <c r="J319" s="211"/>
      <c r="K319" s="237" t="s">
        <v>72</v>
      </c>
      <c r="L319" s="238"/>
      <c r="M319" s="238"/>
      <c r="N319" s="238"/>
      <c r="O319" s="239"/>
      <c r="P319" s="209"/>
      <c r="Q319" s="210"/>
      <c r="R319" s="210"/>
      <c r="S319" s="6"/>
    </row>
    <row r="320" spans="1:19" ht="144.25" customHeight="1" x14ac:dyDescent="0.15">
      <c r="A320" s="209"/>
      <c r="B320" s="210"/>
      <c r="C320" s="210"/>
      <c r="D320" s="210"/>
      <c r="E320" s="235"/>
      <c r="F320" s="235"/>
      <c r="G320" s="210"/>
      <c r="H320" s="210"/>
      <c r="I320" s="210"/>
      <c r="J320" s="211"/>
      <c r="K320" s="170" t="s">
        <v>74</v>
      </c>
      <c r="L320" s="171"/>
      <c r="M320" s="171"/>
      <c r="N320" s="171"/>
      <c r="O320" s="195"/>
      <c r="P320" s="209"/>
      <c r="Q320" s="210"/>
      <c r="R320" s="210"/>
      <c r="S320" s="6"/>
    </row>
    <row r="321" spans="1:19" ht="15" customHeight="1" x14ac:dyDescent="0.15">
      <c r="A321" s="183" t="s">
        <v>164</v>
      </c>
      <c r="B321" s="184"/>
      <c r="C321" s="185">
        <v>21265</v>
      </c>
      <c r="D321" s="185"/>
      <c r="E321" s="186" t="s">
        <v>85</v>
      </c>
      <c r="F321" s="187"/>
      <c r="G321" s="188">
        <v>14.28</v>
      </c>
      <c r="H321" s="188"/>
      <c r="I321" s="285">
        <v>303664</v>
      </c>
      <c r="J321" s="286"/>
      <c r="K321" s="191"/>
      <c r="L321" s="192"/>
      <c r="M321" s="192"/>
      <c r="N321" s="192"/>
      <c r="O321" s="193"/>
      <c r="P321" s="14"/>
      <c r="Q321" s="6"/>
      <c r="R321" s="6"/>
      <c r="S321" s="6"/>
    </row>
    <row r="322" spans="1:19" ht="14.25" customHeight="1" x14ac:dyDescent="0.15">
      <c r="A322" s="128"/>
      <c r="B322" s="129"/>
      <c r="C322" s="129"/>
      <c r="D322" s="129"/>
      <c r="E322" s="129"/>
      <c r="F322" s="129"/>
      <c r="G322" s="129"/>
      <c r="H322" s="129"/>
      <c r="I322" s="129"/>
      <c r="J322" s="130"/>
      <c r="K322" s="128"/>
      <c r="L322" s="129"/>
      <c r="M322" s="129"/>
      <c r="N322" s="129"/>
      <c r="O322" s="130"/>
      <c r="P322" s="14"/>
      <c r="Q322" s="6"/>
      <c r="R322" s="6"/>
      <c r="S322" s="6"/>
    </row>
    <row r="323" spans="1:19" ht="14.25" customHeight="1" x14ac:dyDescent="0.15">
      <c r="A323" s="131" t="s">
        <v>75</v>
      </c>
      <c r="B323" s="132"/>
      <c r="C323" s="152"/>
      <c r="D323" s="152"/>
      <c r="E323" s="152"/>
      <c r="F323" s="152"/>
      <c r="G323" s="152"/>
      <c r="H323" s="152"/>
      <c r="I323" s="135">
        <v>2205000</v>
      </c>
      <c r="J323" s="136"/>
      <c r="K323" s="155">
        <v>2933000</v>
      </c>
      <c r="L323" s="153"/>
      <c r="M323" s="153"/>
      <c r="N323" s="153"/>
      <c r="O323" s="154"/>
      <c r="P323" s="14"/>
      <c r="Q323" s="6"/>
      <c r="R323" s="6"/>
      <c r="S323" s="6"/>
    </row>
    <row r="324" spans="1:19" ht="14.25" customHeight="1" x14ac:dyDescent="0.15">
      <c r="A324" s="156" t="s">
        <v>207</v>
      </c>
      <c r="B324" s="157"/>
      <c r="C324" s="198"/>
      <c r="D324" s="198"/>
      <c r="E324" s="198"/>
      <c r="F324" s="198"/>
      <c r="G324" s="198"/>
      <c r="H324" s="198"/>
      <c r="I324" s="198"/>
      <c r="J324" s="199"/>
      <c r="K324" s="206"/>
      <c r="L324" s="207"/>
      <c r="M324" s="207"/>
      <c r="N324" s="207"/>
      <c r="O324" s="208"/>
      <c r="P324" s="14"/>
      <c r="Q324" s="6"/>
      <c r="R324" s="6"/>
      <c r="S324" s="6"/>
    </row>
    <row r="325" spans="1:19" ht="14.25" customHeight="1" x14ac:dyDescent="0.15">
      <c r="A325" s="194" t="s">
        <v>208</v>
      </c>
      <c r="B325" s="171"/>
      <c r="C325" s="178">
        <v>631620</v>
      </c>
      <c r="D325" s="178"/>
      <c r="E325" s="173" t="s">
        <v>85</v>
      </c>
      <c r="F325" s="174"/>
      <c r="G325" s="179">
        <v>0.12</v>
      </c>
      <c r="H325" s="179"/>
      <c r="I325" s="283">
        <v>76000</v>
      </c>
      <c r="J325" s="284"/>
      <c r="K325" s="209"/>
      <c r="L325" s="210"/>
      <c r="M325" s="210"/>
      <c r="N325" s="210"/>
      <c r="O325" s="211"/>
      <c r="P325" s="14"/>
      <c r="Q325" s="6"/>
      <c r="R325" s="6"/>
      <c r="S325" s="6"/>
    </row>
    <row r="326" spans="1:19" ht="14.25" customHeight="1" x14ac:dyDescent="0.15">
      <c r="A326" s="194" t="s">
        <v>209</v>
      </c>
      <c r="B326" s="171"/>
      <c r="C326" s="178">
        <v>631620</v>
      </c>
      <c r="D326" s="178"/>
      <c r="E326" s="173" t="s">
        <v>85</v>
      </c>
      <c r="F326" s="174"/>
      <c r="G326" s="179">
        <v>0.38</v>
      </c>
      <c r="H326" s="179"/>
      <c r="I326" s="283">
        <v>241000</v>
      </c>
      <c r="J326" s="284"/>
      <c r="K326" s="209"/>
      <c r="L326" s="210"/>
      <c r="M326" s="210"/>
      <c r="N326" s="210"/>
      <c r="O326" s="211"/>
      <c r="P326" s="14"/>
      <c r="Q326" s="6"/>
      <c r="R326" s="6"/>
      <c r="S326" s="6"/>
    </row>
    <row r="327" spans="1:19" ht="14.25" customHeight="1" x14ac:dyDescent="0.15">
      <c r="A327" s="194" t="s">
        <v>210</v>
      </c>
      <c r="B327" s="171"/>
      <c r="C327" s="178">
        <v>631620</v>
      </c>
      <c r="D327" s="178"/>
      <c r="E327" s="173" t="s">
        <v>85</v>
      </c>
      <c r="F327" s="174"/>
      <c r="G327" s="179">
        <v>0.42</v>
      </c>
      <c r="H327" s="179"/>
      <c r="I327" s="283">
        <v>264000</v>
      </c>
      <c r="J327" s="284"/>
      <c r="K327" s="209"/>
      <c r="L327" s="210"/>
      <c r="M327" s="210"/>
      <c r="N327" s="210"/>
      <c r="O327" s="211"/>
      <c r="P327" s="14"/>
      <c r="Q327" s="6"/>
      <c r="R327" s="6"/>
      <c r="S327" s="6"/>
    </row>
    <row r="328" spans="1:19" ht="14.25" customHeight="1" x14ac:dyDescent="0.15">
      <c r="A328" s="194" t="s">
        <v>211</v>
      </c>
      <c r="B328" s="171"/>
      <c r="C328" s="178">
        <v>631620</v>
      </c>
      <c r="D328" s="178"/>
      <c r="E328" s="173" t="s">
        <v>85</v>
      </c>
      <c r="F328" s="174"/>
      <c r="G328" s="179">
        <v>1.2</v>
      </c>
      <c r="H328" s="179"/>
      <c r="I328" s="283">
        <v>756000</v>
      </c>
      <c r="J328" s="284"/>
      <c r="K328" s="209"/>
      <c r="L328" s="210"/>
      <c r="M328" s="210"/>
      <c r="N328" s="210"/>
      <c r="O328" s="211"/>
      <c r="P328" s="14"/>
      <c r="Q328" s="6"/>
      <c r="R328" s="6"/>
      <c r="S328" s="6"/>
    </row>
    <row r="329" spans="1:19" ht="14.25" customHeight="1" x14ac:dyDescent="0.15">
      <c r="A329" s="194" t="s">
        <v>212</v>
      </c>
      <c r="B329" s="171"/>
      <c r="C329" s="178">
        <v>631620</v>
      </c>
      <c r="D329" s="178"/>
      <c r="E329" s="173" t="s">
        <v>85</v>
      </c>
      <c r="F329" s="174"/>
      <c r="G329" s="179">
        <v>0.71</v>
      </c>
      <c r="H329" s="179"/>
      <c r="I329" s="283">
        <v>451000</v>
      </c>
      <c r="J329" s="284"/>
      <c r="K329" s="209"/>
      <c r="L329" s="210"/>
      <c r="M329" s="210"/>
      <c r="N329" s="210"/>
      <c r="O329" s="211"/>
      <c r="P329" s="14"/>
      <c r="Q329" s="6"/>
      <c r="R329" s="6"/>
      <c r="S329" s="6"/>
    </row>
    <row r="330" spans="1:19" ht="14.25" customHeight="1" x14ac:dyDescent="0.15">
      <c r="A330" s="279" t="s">
        <v>213</v>
      </c>
      <c r="B330" s="184"/>
      <c r="C330" s="201">
        <v>1</v>
      </c>
      <c r="D330" s="201"/>
      <c r="E330" s="186" t="s">
        <v>124</v>
      </c>
      <c r="F330" s="187"/>
      <c r="G330" s="202">
        <v>416500</v>
      </c>
      <c r="H330" s="202"/>
      <c r="I330" s="285">
        <v>417000</v>
      </c>
      <c r="J330" s="286"/>
      <c r="K330" s="127"/>
      <c r="L330" s="125"/>
      <c r="M330" s="125"/>
      <c r="N330" s="125"/>
      <c r="O330" s="126"/>
      <c r="P330" s="14"/>
      <c r="Q330" s="6"/>
      <c r="R330" s="6"/>
      <c r="S330" s="6"/>
    </row>
    <row r="331" spans="1:19" ht="14.25" customHeight="1" x14ac:dyDescent="0.15">
      <c r="A331" s="128"/>
      <c r="B331" s="129"/>
      <c r="C331" s="129"/>
      <c r="D331" s="129"/>
      <c r="E331" s="129"/>
      <c r="F331" s="129"/>
      <c r="G331" s="129"/>
      <c r="H331" s="129"/>
      <c r="I331" s="129"/>
      <c r="J331" s="130"/>
      <c r="K331" s="128"/>
      <c r="L331" s="129"/>
      <c r="M331" s="129"/>
      <c r="N331" s="129"/>
      <c r="O331" s="130"/>
      <c r="P331" s="14"/>
      <c r="Q331" s="6"/>
      <c r="R331" s="6"/>
      <c r="S331" s="6"/>
    </row>
    <row r="332" spans="1:19" ht="14.25" customHeight="1" x14ac:dyDescent="0.15">
      <c r="A332" s="131" t="s">
        <v>81</v>
      </c>
      <c r="B332" s="132"/>
      <c r="C332" s="152"/>
      <c r="D332" s="152"/>
      <c r="E332" s="152"/>
      <c r="F332" s="152"/>
      <c r="G332" s="152"/>
      <c r="H332" s="152"/>
      <c r="I332" s="135">
        <v>2756000</v>
      </c>
      <c r="J332" s="136"/>
      <c r="K332" s="155">
        <v>3666000</v>
      </c>
      <c r="L332" s="153"/>
      <c r="M332" s="153"/>
      <c r="N332" s="153"/>
      <c r="O332" s="154"/>
      <c r="P332" s="14"/>
      <c r="Q332" s="6"/>
      <c r="R332" s="6"/>
      <c r="S332" s="6"/>
    </row>
    <row r="333" spans="1:19" ht="14.25" customHeight="1" x14ac:dyDescent="0.15">
      <c r="A333" s="156" t="s">
        <v>214</v>
      </c>
      <c r="B333" s="157"/>
      <c r="C333" s="198"/>
      <c r="D333" s="198"/>
      <c r="E333" s="198"/>
      <c r="F333" s="198"/>
      <c r="G333" s="198"/>
      <c r="H333" s="198"/>
      <c r="I333" s="198"/>
      <c r="J333" s="199"/>
      <c r="K333" s="206"/>
      <c r="L333" s="207"/>
      <c r="M333" s="207"/>
      <c r="N333" s="207"/>
      <c r="O333" s="208"/>
      <c r="P333" s="14"/>
      <c r="Q333" s="6"/>
      <c r="R333" s="6"/>
      <c r="S333" s="6"/>
    </row>
    <row r="334" spans="1:19" ht="14.25" customHeight="1" x14ac:dyDescent="0.15">
      <c r="A334" s="194" t="s">
        <v>88</v>
      </c>
      <c r="B334" s="171"/>
      <c r="C334" s="172">
        <v>4</v>
      </c>
      <c r="D334" s="172"/>
      <c r="E334" s="173" t="s">
        <v>83</v>
      </c>
      <c r="F334" s="174"/>
      <c r="G334" s="175">
        <v>17850</v>
      </c>
      <c r="H334" s="175"/>
      <c r="I334" s="283">
        <v>71400</v>
      </c>
      <c r="J334" s="284"/>
      <c r="K334" s="209"/>
      <c r="L334" s="210"/>
      <c r="M334" s="210"/>
      <c r="N334" s="210"/>
      <c r="O334" s="211"/>
      <c r="P334" s="14"/>
      <c r="Q334" s="6"/>
      <c r="R334" s="6"/>
      <c r="S334" s="6"/>
    </row>
    <row r="335" spans="1:19" ht="14.25" customHeight="1" x14ac:dyDescent="0.15">
      <c r="A335" s="194" t="s">
        <v>84</v>
      </c>
      <c r="B335" s="171"/>
      <c r="C335" s="178">
        <v>4362</v>
      </c>
      <c r="D335" s="178"/>
      <c r="E335" s="173" t="s">
        <v>85</v>
      </c>
      <c r="F335" s="174"/>
      <c r="G335" s="179">
        <v>565.25</v>
      </c>
      <c r="H335" s="179"/>
      <c r="I335" s="283">
        <v>2465847</v>
      </c>
      <c r="J335" s="284"/>
      <c r="K335" s="209"/>
      <c r="L335" s="210"/>
      <c r="M335" s="210"/>
      <c r="N335" s="210"/>
      <c r="O335" s="211"/>
      <c r="P335" s="14"/>
      <c r="Q335" s="6"/>
      <c r="R335" s="6"/>
      <c r="S335" s="6"/>
    </row>
    <row r="336" spans="1:19" ht="14.25" customHeight="1" x14ac:dyDescent="0.15">
      <c r="A336" s="279" t="s">
        <v>86</v>
      </c>
      <c r="B336" s="184"/>
      <c r="C336" s="185">
        <v>4362</v>
      </c>
      <c r="D336" s="185"/>
      <c r="E336" s="186" t="s">
        <v>85</v>
      </c>
      <c r="F336" s="187"/>
      <c r="G336" s="188">
        <v>49.98</v>
      </c>
      <c r="H336" s="188"/>
      <c r="I336" s="285">
        <v>218033</v>
      </c>
      <c r="J336" s="286"/>
      <c r="K336" s="127"/>
      <c r="L336" s="125"/>
      <c r="M336" s="125"/>
      <c r="N336" s="125"/>
      <c r="O336" s="126"/>
      <c r="P336" s="14"/>
      <c r="Q336" s="6"/>
      <c r="R336" s="6"/>
      <c r="S336" s="6"/>
    </row>
    <row r="337" spans="1:19" ht="14.25" customHeight="1" x14ac:dyDescent="0.15">
      <c r="A337" s="128"/>
      <c r="B337" s="129"/>
      <c r="C337" s="129"/>
      <c r="D337" s="129"/>
      <c r="E337" s="129"/>
      <c r="F337" s="129"/>
      <c r="G337" s="129"/>
      <c r="H337" s="129"/>
      <c r="I337" s="129"/>
      <c r="J337" s="130"/>
      <c r="K337" s="128"/>
      <c r="L337" s="129"/>
      <c r="M337" s="129"/>
      <c r="N337" s="129"/>
      <c r="O337" s="130"/>
      <c r="P337" s="14"/>
      <c r="Q337" s="6"/>
      <c r="R337" s="6"/>
      <c r="S337" s="6"/>
    </row>
    <row r="338" spans="1:19" ht="14.25" customHeight="1" x14ac:dyDescent="0.15">
      <c r="A338" s="131" t="s">
        <v>90</v>
      </c>
      <c r="B338" s="132"/>
      <c r="C338" s="152"/>
      <c r="D338" s="152"/>
      <c r="E338" s="152"/>
      <c r="F338" s="152"/>
      <c r="G338" s="152"/>
      <c r="H338" s="152"/>
      <c r="I338" s="135">
        <v>8417000</v>
      </c>
      <c r="J338" s="136"/>
      <c r="K338" s="155">
        <v>11195000</v>
      </c>
      <c r="L338" s="153"/>
      <c r="M338" s="153"/>
      <c r="N338" s="153"/>
      <c r="O338" s="154"/>
      <c r="P338" s="14"/>
      <c r="Q338" s="6"/>
      <c r="R338" s="6"/>
      <c r="S338" s="6"/>
    </row>
    <row r="339" spans="1:19" ht="28" customHeight="1" x14ac:dyDescent="0.15">
      <c r="A339" s="218" t="s">
        <v>215</v>
      </c>
      <c r="B339" s="207"/>
      <c r="C339" s="287">
        <v>8755</v>
      </c>
      <c r="D339" s="287"/>
      <c r="E339" s="288" t="s">
        <v>85</v>
      </c>
      <c r="F339" s="289"/>
      <c r="G339" s="290">
        <v>142.80000000000001</v>
      </c>
      <c r="H339" s="290"/>
      <c r="I339" s="291">
        <v>1250214</v>
      </c>
      <c r="J339" s="292"/>
      <c r="K339" s="164"/>
      <c r="L339" s="165"/>
      <c r="M339" s="165"/>
      <c r="N339" s="165"/>
      <c r="O339" s="166"/>
      <c r="P339" s="14"/>
      <c r="Q339" s="6"/>
      <c r="R339" s="6"/>
      <c r="S339" s="6"/>
    </row>
    <row r="340" spans="1:19" ht="15" customHeight="1" x14ac:dyDescent="0.15">
      <c r="A340" s="209"/>
      <c r="B340" s="210"/>
      <c r="C340" s="178">
        <v>2990</v>
      </c>
      <c r="D340" s="178"/>
      <c r="E340" s="173" t="s">
        <v>85</v>
      </c>
      <c r="F340" s="174"/>
      <c r="G340" s="179">
        <v>357</v>
      </c>
      <c r="H340" s="179"/>
      <c r="I340" s="283">
        <v>1067430</v>
      </c>
      <c r="J340" s="284"/>
      <c r="K340" s="180"/>
      <c r="L340" s="181"/>
      <c r="M340" s="181"/>
      <c r="N340" s="181"/>
      <c r="O340" s="182"/>
      <c r="P340" s="14"/>
      <c r="Q340" s="6"/>
      <c r="R340" s="6"/>
      <c r="S340" s="6"/>
    </row>
    <row r="341" spans="1:19" ht="14.25" customHeight="1" x14ac:dyDescent="0.15">
      <c r="A341" s="209"/>
      <c r="B341" s="210"/>
      <c r="C341" s="178">
        <v>1596</v>
      </c>
      <c r="D341" s="178"/>
      <c r="E341" s="173" t="s">
        <v>85</v>
      </c>
      <c r="F341" s="174"/>
      <c r="G341" s="179">
        <v>636.65</v>
      </c>
      <c r="H341" s="179"/>
      <c r="I341" s="283">
        <v>1016093</v>
      </c>
      <c r="J341" s="284"/>
      <c r="K341" s="180"/>
      <c r="L341" s="181"/>
      <c r="M341" s="181"/>
      <c r="N341" s="181"/>
      <c r="O341" s="182"/>
      <c r="P341" s="14"/>
      <c r="Q341" s="6"/>
      <c r="R341" s="6"/>
      <c r="S341" s="6"/>
    </row>
    <row r="342" spans="1:19" ht="21" customHeight="1" x14ac:dyDescent="0.15">
      <c r="A342" s="209"/>
      <c r="B342" s="210"/>
      <c r="C342" s="178">
        <v>1596</v>
      </c>
      <c r="D342" s="178"/>
      <c r="E342" s="173" t="s">
        <v>85</v>
      </c>
      <c r="F342" s="174"/>
      <c r="G342" s="179">
        <v>49.98</v>
      </c>
      <c r="H342" s="179"/>
      <c r="I342" s="283">
        <v>79768</v>
      </c>
      <c r="J342" s="284"/>
      <c r="K342" s="167"/>
      <c r="L342" s="168"/>
      <c r="M342" s="168"/>
      <c r="N342" s="168"/>
      <c r="O342" s="169"/>
      <c r="P342" s="14"/>
      <c r="Q342" s="6"/>
      <c r="R342" s="6"/>
      <c r="S342" s="6"/>
    </row>
    <row r="343" spans="1:19" ht="21" customHeight="1" x14ac:dyDescent="0.15">
      <c r="A343" s="209"/>
      <c r="B343" s="210"/>
      <c r="C343" s="178">
        <v>4070</v>
      </c>
      <c r="D343" s="178"/>
      <c r="E343" s="173" t="s">
        <v>85</v>
      </c>
      <c r="F343" s="174"/>
      <c r="G343" s="179">
        <v>142.80000000000001</v>
      </c>
      <c r="H343" s="179"/>
      <c r="I343" s="283">
        <v>581196</v>
      </c>
      <c r="J343" s="284"/>
      <c r="K343" s="167"/>
      <c r="L343" s="168"/>
      <c r="M343" s="168"/>
      <c r="N343" s="168"/>
      <c r="O343" s="169"/>
      <c r="P343" s="14"/>
      <c r="Q343" s="6"/>
      <c r="R343" s="6"/>
      <c r="S343" s="6"/>
    </row>
    <row r="344" spans="1:19" ht="14.25" customHeight="1" x14ac:dyDescent="0.15">
      <c r="A344" s="209"/>
      <c r="B344" s="210"/>
      <c r="C344" s="172">
        <v>532</v>
      </c>
      <c r="D344" s="172"/>
      <c r="E344" s="173" t="s">
        <v>85</v>
      </c>
      <c r="F344" s="174"/>
      <c r="G344" s="179">
        <v>636.65</v>
      </c>
      <c r="H344" s="179"/>
      <c r="I344" s="283">
        <v>338698</v>
      </c>
      <c r="J344" s="284"/>
      <c r="K344" s="180"/>
      <c r="L344" s="181"/>
      <c r="M344" s="181"/>
      <c r="N344" s="181"/>
      <c r="O344" s="182"/>
      <c r="P344" s="14"/>
      <c r="Q344" s="6"/>
      <c r="R344" s="6"/>
      <c r="S344" s="6"/>
    </row>
    <row r="345" spans="1:19" ht="21" customHeight="1" x14ac:dyDescent="0.15">
      <c r="A345" s="209"/>
      <c r="B345" s="210"/>
      <c r="C345" s="172">
        <v>532</v>
      </c>
      <c r="D345" s="172"/>
      <c r="E345" s="173" t="s">
        <v>85</v>
      </c>
      <c r="F345" s="174"/>
      <c r="G345" s="179">
        <v>49.98</v>
      </c>
      <c r="H345" s="179"/>
      <c r="I345" s="283">
        <v>26589</v>
      </c>
      <c r="J345" s="284"/>
      <c r="K345" s="167"/>
      <c r="L345" s="168"/>
      <c r="M345" s="168"/>
      <c r="N345" s="168"/>
      <c r="O345" s="169"/>
      <c r="P345" s="14"/>
      <c r="Q345" s="6"/>
      <c r="R345" s="6"/>
      <c r="S345" s="6"/>
    </row>
    <row r="346" spans="1:19" ht="21" customHeight="1" x14ac:dyDescent="0.15">
      <c r="A346" s="209"/>
      <c r="B346" s="210"/>
      <c r="C346" s="178">
        <v>5020</v>
      </c>
      <c r="D346" s="178"/>
      <c r="E346" s="173" t="s">
        <v>85</v>
      </c>
      <c r="F346" s="174"/>
      <c r="G346" s="179">
        <v>458.15</v>
      </c>
      <c r="H346" s="179"/>
      <c r="I346" s="283">
        <v>2299913</v>
      </c>
      <c r="J346" s="284"/>
      <c r="K346" s="170" t="s">
        <v>216</v>
      </c>
      <c r="L346" s="171"/>
      <c r="M346" s="171"/>
      <c r="N346" s="171"/>
      <c r="O346" s="195"/>
      <c r="P346" s="14"/>
      <c r="Q346" s="6"/>
      <c r="R346" s="6"/>
      <c r="S346" s="6"/>
    </row>
    <row r="347" spans="1:19" ht="14.25" customHeight="1" x14ac:dyDescent="0.15">
      <c r="A347" s="127"/>
      <c r="B347" s="125"/>
      <c r="C347" s="185">
        <v>5020</v>
      </c>
      <c r="D347" s="185"/>
      <c r="E347" s="186" t="s">
        <v>85</v>
      </c>
      <c r="F347" s="187"/>
      <c r="G347" s="188">
        <v>350</v>
      </c>
      <c r="H347" s="188"/>
      <c r="I347" s="285">
        <v>1757000</v>
      </c>
      <c r="J347" s="286"/>
      <c r="K347" s="183" t="s">
        <v>216</v>
      </c>
      <c r="L347" s="184"/>
      <c r="M347" s="184"/>
      <c r="N347" s="184"/>
      <c r="O347" s="197"/>
      <c r="P347" s="14"/>
      <c r="Q347" s="6"/>
      <c r="R347" s="6"/>
      <c r="S347" s="6"/>
    </row>
    <row r="348" spans="1:19" ht="14.25" customHeight="1" x14ac:dyDescent="0.15">
      <c r="A348" s="128"/>
      <c r="B348" s="129"/>
      <c r="C348" s="129"/>
      <c r="D348" s="129"/>
      <c r="E348" s="129"/>
      <c r="F348" s="129"/>
      <c r="G348" s="129"/>
      <c r="H348" s="129"/>
      <c r="I348" s="129"/>
      <c r="J348" s="130"/>
      <c r="K348" s="128"/>
      <c r="L348" s="129"/>
      <c r="M348" s="129"/>
      <c r="N348" s="129"/>
      <c r="O348" s="130"/>
      <c r="P348" s="14"/>
      <c r="Q348" s="6"/>
      <c r="R348" s="6"/>
      <c r="S348" s="6"/>
    </row>
    <row r="349" spans="1:19" ht="14.25" customHeight="1" x14ac:dyDescent="0.15">
      <c r="A349" s="131" t="s">
        <v>92</v>
      </c>
      <c r="B349" s="132"/>
      <c r="C349" s="152"/>
      <c r="D349" s="152"/>
      <c r="E349" s="152"/>
      <c r="F349" s="152"/>
      <c r="G349" s="152"/>
      <c r="H349" s="152"/>
      <c r="I349" s="135">
        <v>3787000</v>
      </c>
      <c r="J349" s="136"/>
      <c r="K349" s="155">
        <v>5037000</v>
      </c>
      <c r="L349" s="153"/>
      <c r="M349" s="153"/>
      <c r="N349" s="153"/>
      <c r="O349" s="154"/>
      <c r="P349" s="14"/>
      <c r="Q349" s="6"/>
      <c r="R349" s="6"/>
      <c r="S349" s="6"/>
    </row>
    <row r="350" spans="1:19" ht="35.25" customHeight="1" x14ac:dyDescent="0.15">
      <c r="A350" s="222" t="s">
        <v>217</v>
      </c>
      <c r="B350" s="207"/>
      <c r="C350" s="287">
        <v>3960</v>
      </c>
      <c r="D350" s="287"/>
      <c r="E350" s="288" t="s">
        <v>85</v>
      </c>
      <c r="F350" s="289"/>
      <c r="G350" s="290">
        <v>333.2</v>
      </c>
      <c r="H350" s="290"/>
      <c r="I350" s="291">
        <v>1320000</v>
      </c>
      <c r="J350" s="292"/>
      <c r="K350" s="164"/>
      <c r="L350" s="165"/>
      <c r="M350" s="165"/>
      <c r="N350" s="165"/>
      <c r="O350" s="165"/>
      <c r="P350" s="6"/>
      <c r="Q350" s="6"/>
      <c r="R350" s="6"/>
      <c r="S350" s="6"/>
    </row>
    <row r="351" spans="1:19" ht="21" customHeight="1" x14ac:dyDescent="0.15">
      <c r="A351" s="210"/>
      <c r="B351" s="210"/>
      <c r="C351" s="178">
        <v>2565</v>
      </c>
      <c r="D351" s="178"/>
      <c r="E351" s="173" t="s">
        <v>85</v>
      </c>
      <c r="F351" s="174"/>
      <c r="G351" s="179">
        <v>386.75</v>
      </c>
      <c r="H351" s="179"/>
      <c r="I351" s="283">
        <v>993000</v>
      </c>
      <c r="J351" s="284"/>
      <c r="K351" s="170" t="s">
        <v>216</v>
      </c>
      <c r="L351" s="171"/>
      <c r="M351" s="171"/>
      <c r="N351" s="171"/>
      <c r="O351" s="171"/>
      <c r="P351" s="6"/>
      <c r="Q351" s="6"/>
      <c r="R351" s="6"/>
      <c r="S351" s="6"/>
    </row>
    <row r="352" spans="1:19" ht="14.25" customHeight="1" x14ac:dyDescent="0.15">
      <c r="A352" s="210"/>
      <c r="B352" s="210"/>
      <c r="C352" s="178">
        <v>2565</v>
      </c>
      <c r="D352" s="178"/>
      <c r="E352" s="173" t="s">
        <v>85</v>
      </c>
      <c r="F352" s="174"/>
      <c r="G352" s="179">
        <v>250</v>
      </c>
      <c r="H352" s="179"/>
      <c r="I352" s="283">
        <v>641250</v>
      </c>
      <c r="J352" s="284"/>
      <c r="K352" s="170" t="s">
        <v>216</v>
      </c>
      <c r="L352" s="171"/>
      <c r="M352" s="171"/>
      <c r="N352" s="171"/>
      <c r="O352" s="171"/>
      <c r="P352" s="6"/>
      <c r="Q352" s="6"/>
      <c r="R352" s="6"/>
      <c r="S352" s="6"/>
    </row>
    <row r="353" spans="1:19" ht="14.25" customHeight="1" x14ac:dyDescent="0.15">
      <c r="A353" s="210"/>
      <c r="B353" s="210"/>
      <c r="C353" s="172">
        <v>222</v>
      </c>
      <c r="D353" s="172"/>
      <c r="E353" s="173" t="s">
        <v>85</v>
      </c>
      <c r="F353" s="174"/>
      <c r="G353" s="175">
        <v>1309</v>
      </c>
      <c r="H353" s="175"/>
      <c r="I353" s="283">
        <v>291000</v>
      </c>
      <c r="J353" s="284"/>
      <c r="K353" s="180"/>
      <c r="L353" s="181"/>
      <c r="M353" s="181"/>
      <c r="N353" s="181"/>
      <c r="O353" s="181"/>
      <c r="P353" s="6"/>
      <c r="Q353" s="6"/>
      <c r="R353" s="6"/>
      <c r="S353" s="6"/>
    </row>
    <row r="354" spans="1:19" ht="14.25" customHeight="1" x14ac:dyDescent="0.15">
      <c r="A354" s="210"/>
      <c r="B354" s="210"/>
      <c r="C354" s="172">
        <v>222</v>
      </c>
      <c r="D354" s="172"/>
      <c r="E354" s="173" t="s">
        <v>85</v>
      </c>
      <c r="F354" s="174"/>
      <c r="G354" s="179">
        <v>49.98</v>
      </c>
      <c r="H354" s="179"/>
      <c r="I354" s="283">
        <v>12000</v>
      </c>
      <c r="J354" s="284"/>
      <c r="K354" s="180"/>
      <c r="L354" s="181"/>
      <c r="M354" s="181"/>
      <c r="N354" s="181"/>
      <c r="O354" s="181"/>
      <c r="P354" s="6"/>
      <c r="Q354" s="6"/>
      <c r="R354" s="6"/>
      <c r="S354" s="6"/>
    </row>
    <row r="355" spans="1:19" ht="14.25" customHeight="1" x14ac:dyDescent="0.15">
      <c r="A355" s="125"/>
      <c r="B355" s="125"/>
      <c r="C355" s="185">
        <v>2400</v>
      </c>
      <c r="D355" s="185"/>
      <c r="E355" s="186" t="s">
        <v>85</v>
      </c>
      <c r="F355" s="187"/>
      <c r="G355" s="188">
        <v>220.15</v>
      </c>
      <c r="H355" s="188"/>
      <c r="I355" s="285">
        <v>529000</v>
      </c>
      <c r="J355" s="286"/>
      <c r="K355" s="191"/>
      <c r="L355" s="192"/>
      <c r="M355" s="192"/>
      <c r="N355" s="192"/>
      <c r="O355" s="192"/>
      <c r="P355" s="6"/>
      <c r="Q355" s="6"/>
      <c r="R355" s="6"/>
      <c r="S355" s="6"/>
    </row>
    <row r="356" spans="1:19" ht="14.25" customHeight="1" x14ac:dyDescent="0.15">
      <c r="A356" s="128"/>
      <c r="B356" s="129"/>
      <c r="C356" s="129"/>
      <c r="D356" s="129"/>
      <c r="E356" s="129"/>
      <c r="F356" s="129"/>
      <c r="G356" s="129"/>
      <c r="H356" s="129"/>
      <c r="I356" s="129"/>
      <c r="J356" s="130"/>
      <c r="K356" s="128"/>
      <c r="L356" s="129"/>
      <c r="M356" s="129"/>
      <c r="N356" s="129"/>
      <c r="O356" s="130"/>
      <c r="P356" s="14"/>
      <c r="Q356" s="6"/>
      <c r="R356" s="6"/>
      <c r="S356" s="6"/>
    </row>
    <row r="357" spans="1:19" ht="14.25" customHeight="1" x14ac:dyDescent="0.15">
      <c r="A357" s="131" t="s">
        <v>101</v>
      </c>
      <c r="B357" s="132"/>
      <c r="C357" s="152"/>
      <c r="D357" s="152"/>
      <c r="E357" s="152"/>
      <c r="F357" s="152"/>
      <c r="G357" s="152"/>
      <c r="H357" s="152"/>
      <c r="I357" s="135">
        <v>2315000</v>
      </c>
      <c r="J357" s="136"/>
      <c r="K357" s="155">
        <v>3079000</v>
      </c>
      <c r="L357" s="153"/>
      <c r="M357" s="153"/>
      <c r="N357" s="153"/>
      <c r="O357" s="154"/>
      <c r="P357" s="14"/>
      <c r="Q357" s="6"/>
      <c r="R357" s="6"/>
      <c r="S357" s="6"/>
    </row>
    <row r="358" spans="1:19" ht="14.25" customHeight="1" x14ac:dyDescent="0.15">
      <c r="A358" s="156" t="s">
        <v>218</v>
      </c>
      <c r="B358" s="157"/>
      <c r="C358" s="198"/>
      <c r="D358" s="198"/>
      <c r="E358" s="198"/>
      <c r="F358" s="198"/>
      <c r="G358" s="198"/>
      <c r="H358" s="198"/>
      <c r="I358" s="198"/>
      <c r="J358" s="199"/>
      <c r="K358" s="206"/>
      <c r="L358" s="207"/>
      <c r="M358" s="207"/>
      <c r="N358" s="207"/>
      <c r="O358" s="208"/>
      <c r="P358" s="14"/>
      <c r="Q358" s="6"/>
      <c r="R358" s="6"/>
      <c r="S358" s="6"/>
    </row>
    <row r="359" spans="1:19" ht="15" customHeight="1" x14ac:dyDescent="0.15">
      <c r="A359" s="194" t="s">
        <v>98</v>
      </c>
      <c r="B359" s="171"/>
      <c r="C359" s="178">
        <v>2300</v>
      </c>
      <c r="D359" s="178"/>
      <c r="E359" s="173" t="s">
        <v>85</v>
      </c>
      <c r="F359" s="174"/>
      <c r="G359" s="179">
        <v>476</v>
      </c>
      <c r="H359" s="179"/>
      <c r="I359" s="283">
        <v>1094800</v>
      </c>
      <c r="J359" s="284"/>
      <c r="K359" s="209"/>
      <c r="L359" s="210"/>
      <c r="M359" s="210"/>
      <c r="N359" s="210"/>
      <c r="O359" s="211"/>
      <c r="P359" s="14"/>
      <c r="Q359" s="6"/>
      <c r="R359" s="6"/>
      <c r="S359" s="6"/>
    </row>
    <row r="360" spans="1:19" ht="14.25" customHeight="1" x14ac:dyDescent="0.15">
      <c r="A360" s="194" t="s">
        <v>219</v>
      </c>
      <c r="B360" s="171"/>
      <c r="C360" s="178">
        <v>1596</v>
      </c>
      <c r="D360" s="178"/>
      <c r="E360" s="173" t="s">
        <v>85</v>
      </c>
      <c r="F360" s="174"/>
      <c r="G360" s="179">
        <v>714</v>
      </c>
      <c r="H360" s="179"/>
      <c r="I360" s="283">
        <v>1139544</v>
      </c>
      <c r="J360" s="284"/>
      <c r="K360" s="209"/>
      <c r="L360" s="210"/>
      <c r="M360" s="210"/>
      <c r="N360" s="210"/>
      <c r="O360" s="211"/>
      <c r="P360" s="14"/>
      <c r="Q360" s="6"/>
      <c r="R360" s="6"/>
      <c r="S360" s="6"/>
    </row>
    <row r="361" spans="1:19" ht="13" customHeight="1" x14ac:dyDescent="0.15">
      <c r="A361" s="279" t="s">
        <v>86</v>
      </c>
      <c r="B361" s="184"/>
      <c r="C361" s="185">
        <v>1596</v>
      </c>
      <c r="D361" s="185"/>
      <c r="E361" s="186" t="s">
        <v>85</v>
      </c>
      <c r="F361" s="187"/>
      <c r="G361" s="188">
        <v>49.98</v>
      </c>
      <c r="H361" s="188"/>
      <c r="I361" s="285">
        <v>79768</v>
      </c>
      <c r="J361" s="286"/>
      <c r="K361" s="127"/>
      <c r="L361" s="125"/>
      <c r="M361" s="125"/>
      <c r="N361" s="125"/>
      <c r="O361" s="126"/>
      <c r="P361" s="14"/>
      <c r="Q361" s="6"/>
      <c r="R361" s="6"/>
      <c r="S361" s="6"/>
    </row>
    <row r="362" spans="1:19" ht="14.25" customHeight="1" x14ac:dyDescent="0.15">
      <c r="A362" s="128"/>
      <c r="B362" s="129"/>
      <c r="C362" s="129"/>
      <c r="D362" s="129"/>
      <c r="E362" s="129"/>
      <c r="F362" s="129"/>
      <c r="G362" s="129"/>
      <c r="H362" s="129"/>
      <c r="I362" s="129"/>
      <c r="J362" s="130"/>
      <c r="K362" s="128"/>
      <c r="L362" s="129"/>
      <c r="M362" s="129"/>
      <c r="N362" s="129"/>
      <c r="O362" s="130"/>
      <c r="P362" s="14"/>
      <c r="Q362" s="6"/>
      <c r="R362" s="6"/>
      <c r="S362" s="6"/>
    </row>
    <row r="363" spans="1:19" ht="15" customHeight="1" x14ac:dyDescent="0.15">
      <c r="A363" s="131" t="s">
        <v>104</v>
      </c>
      <c r="B363" s="132"/>
      <c r="C363" s="152"/>
      <c r="D363" s="152"/>
      <c r="E363" s="152"/>
      <c r="F363" s="152"/>
      <c r="G363" s="152"/>
      <c r="H363" s="152"/>
      <c r="I363" s="135">
        <v>619000</v>
      </c>
      <c r="J363" s="136"/>
      <c r="K363" s="155">
        <v>824000</v>
      </c>
      <c r="L363" s="153"/>
      <c r="M363" s="153"/>
      <c r="N363" s="153"/>
      <c r="O363" s="154"/>
      <c r="P363" s="14"/>
      <c r="Q363" s="6"/>
      <c r="R363" s="6"/>
      <c r="S363" s="6"/>
    </row>
    <row r="364" spans="1:19" ht="13.75" customHeight="1" x14ac:dyDescent="0.15">
      <c r="A364" s="156" t="s">
        <v>105</v>
      </c>
      <c r="B364" s="157"/>
      <c r="C364" s="157"/>
      <c r="D364" s="157"/>
      <c r="E364" s="157"/>
      <c r="F364" s="157"/>
      <c r="G364" s="157"/>
      <c r="H364" s="157"/>
      <c r="I364" s="157"/>
      <c r="J364" s="205"/>
      <c r="K364" s="200"/>
      <c r="L364" s="198"/>
      <c r="M364" s="198"/>
      <c r="N364" s="198"/>
      <c r="O364" s="199"/>
      <c r="P364" s="14"/>
      <c r="Q364" s="6"/>
      <c r="R364" s="6"/>
      <c r="S364" s="6"/>
    </row>
    <row r="365" spans="1:19" ht="57" customHeight="1" x14ac:dyDescent="0.15">
      <c r="A365" s="124" t="s">
        <v>220</v>
      </c>
      <c r="B365" s="125"/>
      <c r="C365" s="282" t="s">
        <v>221</v>
      </c>
      <c r="D365" s="125"/>
      <c r="E365" s="243" t="s">
        <v>222</v>
      </c>
      <c r="F365" s="236"/>
      <c r="G365" s="244" t="s">
        <v>223</v>
      </c>
      <c r="H365" s="125"/>
      <c r="I365" s="244" t="s">
        <v>224</v>
      </c>
      <c r="J365" s="126"/>
      <c r="K365" s="127"/>
      <c r="L365" s="125"/>
      <c r="M365" s="125"/>
      <c r="N365" s="125"/>
      <c r="O365" s="126"/>
      <c r="P365" s="14"/>
      <c r="Q365" s="6"/>
      <c r="R365" s="6"/>
      <c r="S365" s="6"/>
    </row>
    <row r="366" spans="1:19" ht="14.25" customHeight="1" x14ac:dyDescent="0.15">
      <c r="A366" s="128"/>
      <c r="B366" s="129"/>
      <c r="C366" s="129"/>
      <c r="D366" s="129"/>
      <c r="E366" s="129"/>
      <c r="F366" s="129"/>
      <c r="G366" s="129"/>
      <c r="H366" s="129"/>
      <c r="I366" s="129"/>
      <c r="J366" s="130"/>
      <c r="K366" s="128"/>
      <c r="L366" s="129"/>
      <c r="M366" s="129"/>
      <c r="N366" s="129"/>
      <c r="O366" s="130"/>
      <c r="P366" s="14"/>
      <c r="Q366" s="6"/>
      <c r="R366" s="6"/>
      <c r="S366" s="6"/>
    </row>
    <row r="367" spans="1:19" ht="14.25" customHeight="1" x14ac:dyDescent="0.15">
      <c r="A367" s="131" t="s">
        <v>108</v>
      </c>
      <c r="B367" s="132"/>
      <c r="C367" s="152"/>
      <c r="D367" s="152"/>
      <c r="E367" s="152"/>
      <c r="F367" s="152"/>
      <c r="G367" s="152"/>
      <c r="H367" s="152"/>
      <c r="I367" s="153">
        <v>1019000</v>
      </c>
      <c r="J367" s="154"/>
      <c r="K367" s="155">
        <v>1356000</v>
      </c>
      <c r="L367" s="153"/>
      <c r="M367" s="153"/>
      <c r="N367" s="153"/>
      <c r="O367" s="154"/>
      <c r="P367" s="14"/>
      <c r="Q367" s="6"/>
      <c r="R367" s="6"/>
      <c r="S367" s="6"/>
    </row>
    <row r="368" spans="1:19" ht="56.25" customHeight="1" x14ac:dyDescent="0.15">
      <c r="A368" s="137" t="s">
        <v>225</v>
      </c>
      <c r="B368" s="138"/>
      <c r="C368" s="280" t="s">
        <v>226</v>
      </c>
      <c r="D368" s="281"/>
      <c r="E368" s="232" t="s">
        <v>78</v>
      </c>
      <c r="F368" s="233"/>
      <c r="G368" s="230" t="s">
        <v>181</v>
      </c>
      <c r="H368" s="138"/>
      <c r="I368" s="230" t="s">
        <v>227</v>
      </c>
      <c r="J368" s="139"/>
      <c r="K368" s="234"/>
      <c r="L368" s="138"/>
      <c r="M368" s="138"/>
      <c r="N368" s="138"/>
      <c r="O368" s="139"/>
      <c r="P368" s="14"/>
      <c r="Q368" s="6"/>
      <c r="R368" s="6"/>
      <c r="S368" s="6"/>
    </row>
    <row r="369" spans="1:19" ht="14.25" customHeight="1" x14ac:dyDescent="0.15">
      <c r="A369" s="128"/>
      <c r="B369" s="129"/>
      <c r="C369" s="129"/>
      <c r="D369" s="129"/>
      <c r="E369" s="129"/>
      <c r="F369" s="129"/>
      <c r="G369" s="129"/>
      <c r="H369" s="129"/>
      <c r="I369" s="129"/>
      <c r="J369" s="130"/>
      <c r="K369" s="128"/>
      <c r="L369" s="129"/>
      <c r="M369" s="129"/>
      <c r="N369" s="129"/>
      <c r="O369" s="130"/>
      <c r="P369" s="14"/>
      <c r="Q369" s="6"/>
      <c r="R369" s="6"/>
      <c r="S369" s="6"/>
    </row>
    <row r="370" spans="1:19" ht="14.25" customHeight="1" x14ac:dyDescent="0.15">
      <c r="A370" s="131" t="s">
        <v>113</v>
      </c>
      <c r="B370" s="132"/>
      <c r="C370" s="152"/>
      <c r="D370" s="152"/>
      <c r="E370" s="152"/>
      <c r="F370" s="152"/>
      <c r="G370" s="152"/>
      <c r="H370" s="152"/>
      <c r="I370" s="226" t="s">
        <v>114</v>
      </c>
      <c r="J370" s="133"/>
      <c r="K370" s="131" t="s">
        <v>115</v>
      </c>
      <c r="L370" s="132"/>
      <c r="M370" s="132"/>
      <c r="N370" s="132"/>
      <c r="O370" s="133"/>
      <c r="P370" s="14"/>
      <c r="Q370" s="6"/>
      <c r="R370" s="6"/>
      <c r="S370" s="6"/>
    </row>
    <row r="371" spans="1:19" ht="14.25" customHeight="1" x14ac:dyDescent="0.15">
      <c r="A371" s="227" t="s">
        <v>116</v>
      </c>
      <c r="B371" s="228"/>
      <c r="C371" s="228"/>
      <c r="D371" s="228"/>
      <c r="E371" s="228"/>
      <c r="F371" s="228"/>
      <c r="G371" s="228"/>
      <c r="H371" s="228"/>
      <c r="I371" s="228"/>
      <c r="J371" s="229"/>
      <c r="K371" s="149"/>
      <c r="L371" s="150"/>
      <c r="M371" s="150"/>
      <c r="N371" s="150"/>
      <c r="O371" s="151"/>
      <c r="P371" s="14"/>
      <c r="Q371" s="6"/>
      <c r="R371" s="6"/>
      <c r="S371" s="6"/>
    </row>
    <row r="372" spans="1:19" ht="14.25" customHeight="1" x14ac:dyDescent="0.15">
      <c r="A372" s="128"/>
      <c r="B372" s="129"/>
      <c r="C372" s="129"/>
      <c r="D372" s="129"/>
      <c r="E372" s="129"/>
      <c r="F372" s="129"/>
      <c r="G372" s="129"/>
      <c r="H372" s="129"/>
      <c r="I372" s="129"/>
      <c r="J372" s="130"/>
      <c r="K372" s="128"/>
      <c r="L372" s="129"/>
      <c r="M372" s="129"/>
      <c r="N372" s="129"/>
      <c r="O372" s="130"/>
      <c r="P372" s="14"/>
      <c r="Q372" s="6"/>
      <c r="R372" s="6"/>
      <c r="S372" s="6"/>
    </row>
    <row r="373" spans="1:19" ht="14.25" customHeight="1" x14ac:dyDescent="0.15">
      <c r="A373" s="131" t="s">
        <v>117</v>
      </c>
      <c r="B373" s="132"/>
      <c r="C373" s="152"/>
      <c r="D373" s="152"/>
      <c r="E373" s="152"/>
      <c r="F373" s="152"/>
      <c r="G373" s="152"/>
      <c r="H373" s="152"/>
      <c r="I373" s="153">
        <v>3092000</v>
      </c>
      <c r="J373" s="154"/>
      <c r="K373" s="155">
        <v>4113000</v>
      </c>
      <c r="L373" s="153"/>
      <c r="M373" s="153"/>
      <c r="N373" s="153"/>
      <c r="O373" s="154"/>
      <c r="P373" s="14"/>
      <c r="Q373" s="6"/>
      <c r="R373" s="6"/>
      <c r="S373" s="6"/>
    </row>
    <row r="374" spans="1:19" ht="14.25" customHeight="1" x14ac:dyDescent="0.15">
      <c r="A374" s="156" t="s">
        <v>118</v>
      </c>
      <c r="B374" s="157"/>
      <c r="C374" s="158">
        <v>12</v>
      </c>
      <c r="D374" s="158"/>
      <c r="E374" s="159" t="s">
        <v>83</v>
      </c>
      <c r="F374" s="160"/>
      <c r="G374" s="161">
        <v>9000</v>
      </c>
      <c r="H374" s="161"/>
      <c r="I374" s="162">
        <v>108000</v>
      </c>
      <c r="J374" s="163"/>
      <c r="K374" s="200"/>
      <c r="L374" s="198"/>
      <c r="M374" s="198"/>
      <c r="N374" s="198"/>
      <c r="O374" s="199"/>
      <c r="P374" s="14"/>
      <c r="Q374" s="6"/>
      <c r="R374" s="6"/>
      <c r="S374" s="6"/>
    </row>
    <row r="375" spans="1:19" ht="14.25" customHeight="1" x14ac:dyDescent="0.15">
      <c r="A375" s="170" t="s">
        <v>190</v>
      </c>
      <c r="B375" s="171"/>
      <c r="C375" s="178">
        <v>9600</v>
      </c>
      <c r="D375" s="178"/>
      <c r="E375" s="173" t="s">
        <v>85</v>
      </c>
      <c r="F375" s="174"/>
      <c r="G375" s="179">
        <v>220.15</v>
      </c>
      <c r="H375" s="179"/>
      <c r="I375" s="176">
        <v>2114000</v>
      </c>
      <c r="J375" s="177"/>
      <c r="K375" s="170" t="s">
        <v>228</v>
      </c>
      <c r="L375" s="171"/>
      <c r="M375" s="171"/>
      <c r="N375" s="171"/>
      <c r="O375" s="195"/>
      <c r="P375" s="14"/>
      <c r="Q375" s="6"/>
      <c r="R375" s="6"/>
      <c r="S375" s="6"/>
    </row>
    <row r="376" spans="1:19" ht="14.25" customHeight="1" x14ac:dyDescent="0.15">
      <c r="A376" s="170" t="s">
        <v>119</v>
      </c>
      <c r="B376" s="171"/>
      <c r="C376" s="172">
        <v>240</v>
      </c>
      <c r="D376" s="172"/>
      <c r="E376" s="173" t="s">
        <v>85</v>
      </c>
      <c r="F376" s="174"/>
      <c r="G376" s="179">
        <v>35.700000000000003</v>
      </c>
      <c r="H376" s="179"/>
      <c r="I376" s="176">
        <v>9000</v>
      </c>
      <c r="J376" s="177"/>
      <c r="K376" s="180"/>
      <c r="L376" s="181"/>
      <c r="M376" s="181"/>
      <c r="N376" s="181"/>
      <c r="O376" s="182"/>
      <c r="P376" s="14"/>
      <c r="Q376" s="6"/>
      <c r="R376" s="6"/>
      <c r="S376" s="6"/>
    </row>
    <row r="377" spans="1:19" ht="14.25" customHeight="1" x14ac:dyDescent="0.15">
      <c r="A377" s="170" t="s">
        <v>120</v>
      </c>
      <c r="B377" s="171"/>
      <c r="C377" s="172">
        <v>100</v>
      </c>
      <c r="D377" s="172"/>
      <c r="E377" s="173" t="s">
        <v>85</v>
      </c>
      <c r="F377" s="174"/>
      <c r="G377" s="179">
        <v>23.8</v>
      </c>
      <c r="H377" s="179"/>
      <c r="I377" s="176">
        <v>3000</v>
      </c>
      <c r="J377" s="177"/>
      <c r="K377" s="180"/>
      <c r="L377" s="181"/>
      <c r="M377" s="181"/>
      <c r="N377" s="181"/>
      <c r="O377" s="182"/>
      <c r="P377" s="14"/>
      <c r="Q377" s="6"/>
      <c r="R377" s="6"/>
      <c r="S377" s="6"/>
    </row>
    <row r="378" spans="1:19" ht="14.25" customHeight="1" x14ac:dyDescent="0.15">
      <c r="A378" s="170" t="s">
        <v>123</v>
      </c>
      <c r="B378" s="171"/>
      <c r="C378" s="172">
        <v>1</v>
      </c>
      <c r="D378" s="172"/>
      <c r="E378" s="173" t="s">
        <v>124</v>
      </c>
      <c r="F378" s="174"/>
      <c r="G378" s="175">
        <v>500000</v>
      </c>
      <c r="H378" s="175"/>
      <c r="I378" s="176">
        <v>500000</v>
      </c>
      <c r="J378" s="177"/>
      <c r="K378" s="180"/>
      <c r="L378" s="181"/>
      <c r="M378" s="181"/>
      <c r="N378" s="181"/>
      <c r="O378" s="182"/>
      <c r="P378" s="14"/>
      <c r="Q378" s="6"/>
      <c r="R378" s="6"/>
      <c r="S378" s="6"/>
    </row>
    <row r="379" spans="1:19" ht="15" customHeight="1" x14ac:dyDescent="0.15">
      <c r="A379" s="170" t="s">
        <v>128</v>
      </c>
      <c r="B379" s="171"/>
      <c r="C379" s="172">
        <v>1</v>
      </c>
      <c r="D379" s="172"/>
      <c r="E379" s="173" t="s">
        <v>124</v>
      </c>
      <c r="F379" s="174"/>
      <c r="G379" s="175">
        <v>89250</v>
      </c>
      <c r="H379" s="175"/>
      <c r="I379" s="176">
        <v>90000</v>
      </c>
      <c r="J379" s="177"/>
      <c r="K379" s="180"/>
      <c r="L379" s="181"/>
      <c r="M379" s="181"/>
      <c r="N379" s="181"/>
      <c r="O379" s="182"/>
      <c r="P379" s="14"/>
      <c r="Q379" s="6"/>
      <c r="R379" s="6"/>
      <c r="S379" s="6"/>
    </row>
    <row r="380" spans="1:19" ht="14.25" customHeight="1" x14ac:dyDescent="0.15">
      <c r="A380" s="170" t="s">
        <v>129</v>
      </c>
      <c r="B380" s="171"/>
      <c r="C380" s="172">
        <v>51</v>
      </c>
      <c r="D380" s="172"/>
      <c r="E380" s="173" t="s">
        <v>83</v>
      </c>
      <c r="F380" s="174"/>
      <c r="G380" s="179">
        <v>892.5</v>
      </c>
      <c r="H380" s="179"/>
      <c r="I380" s="176">
        <v>46000</v>
      </c>
      <c r="J380" s="177"/>
      <c r="K380" s="180"/>
      <c r="L380" s="181"/>
      <c r="M380" s="181"/>
      <c r="N380" s="181"/>
      <c r="O380" s="182"/>
      <c r="P380" s="14"/>
      <c r="Q380" s="6"/>
      <c r="R380" s="6"/>
      <c r="S380" s="6"/>
    </row>
    <row r="381" spans="1:19" ht="14.25" customHeight="1" x14ac:dyDescent="0.15">
      <c r="A381" s="170" t="s">
        <v>130</v>
      </c>
      <c r="B381" s="171"/>
      <c r="C381" s="172">
        <v>1</v>
      </c>
      <c r="D381" s="172"/>
      <c r="E381" s="173" t="s">
        <v>124</v>
      </c>
      <c r="F381" s="174"/>
      <c r="G381" s="175">
        <v>47600</v>
      </c>
      <c r="H381" s="175"/>
      <c r="I381" s="176">
        <v>48000</v>
      </c>
      <c r="J381" s="177"/>
      <c r="K381" s="180"/>
      <c r="L381" s="181"/>
      <c r="M381" s="181"/>
      <c r="N381" s="181"/>
      <c r="O381" s="182"/>
      <c r="P381" s="14"/>
      <c r="Q381" s="6"/>
      <c r="R381" s="6"/>
      <c r="S381" s="6"/>
    </row>
    <row r="382" spans="1:19" ht="14.25" customHeight="1" x14ac:dyDescent="0.15">
      <c r="A382" s="170" t="s">
        <v>184</v>
      </c>
      <c r="B382" s="171"/>
      <c r="C382" s="172">
        <v>210</v>
      </c>
      <c r="D382" s="172"/>
      <c r="E382" s="173" t="s">
        <v>122</v>
      </c>
      <c r="F382" s="174"/>
      <c r="G382" s="179">
        <v>350</v>
      </c>
      <c r="H382" s="179"/>
      <c r="I382" s="176">
        <v>74000</v>
      </c>
      <c r="J382" s="177"/>
      <c r="K382" s="180"/>
      <c r="L382" s="181"/>
      <c r="M382" s="181"/>
      <c r="N382" s="181"/>
      <c r="O382" s="182"/>
      <c r="P382" s="14"/>
      <c r="Q382" s="6"/>
      <c r="R382" s="6"/>
      <c r="S382" s="6"/>
    </row>
    <row r="383" spans="1:19" ht="14.25" customHeight="1" x14ac:dyDescent="0.15">
      <c r="A383" s="183" t="s">
        <v>133</v>
      </c>
      <c r="B383" s="184"/>
      <c r="C383" s="201">
        <v>1</v>
      </c>
      <c r="D383" s="201"/>
      <c r="E383" s="186" t="s">
        <v>124</v>
      </c>
      <c r="F383" s="187"/>
      <c r="G383" s="202">
        <v>100000</v>
      </c>
      <c r="H383" s="202"/>
      <c r="I383" s="189">
        <v>100000</v>
      </c>
      <c r="J383" s="190"/>
      <c r="K383" s="191"/>
      <c r="L383" s="192"/>
      <c r="M383" s="192"/>
      <c r="N383" s="192"/>
      <c r="O383" s="193"/>
      <c r="P383" s="14"/>
      <c r="Q383" s="6"/>
      <c r="R383" s="6"/>
      <c r="S383" s="6"/>
    </row>
    <row r="384" spans="1:19" ht="14.25" customHeight="1" x14ac:dyDescent="0.15">
      <c r="A384" s="128"/>
      <c r="B384" s="129"/>
      <c r="C384" s="129"/>
      <c r="D384" s="129"/>
      <c r="E384" s="129"/>
      <c r="F384" s="129"/>
      <c r="G384" s="129"/>
      <c r="H384" s="129"/>
      <c r="I384" s="129"/>
      <c r="J384" s="130"/>
      <c r="K384" s="128"/>
      <c r="L384" s="129"/>
      <c r="M384" s="129"/>
      <c r="N384" s="129"/>
      <c r="O384" s="130"/>
      <c r="P384" s="14"/>
      <c r="Q384" s="6"/>
      <c r="R384" s="6"/>
      <c r="S384" s="6"/>
    </row>
    <row r="385" spans="1:19" ht="14.25" customHeight="1" x14ac:dyDescent="0.15">
      <c r="A385" s="131" t="s">
        <v>134</v>
      </c>
      <c r="B385" s="132"/>
      <c r="C385" s="152"/>
      <c r="D385" s="152"/>
      <c r="E385" s="152"/>
      <c r="F385" s="152"/>
      <c r="G385" s="152"/>
      <c r="H385" s="152"/>
      <c r="I385" s="153">
        <v>2066000</v>
      </c>
      <c r="J385" s="154"/>
      <c r="K385" s="155">
        <v>2748000</v>
      </c>
      <c r="L385" s="153"/>
      <c r="M385" s="153"/>
      <c r="N385" s="153"/>
      <c r="O385" s="154"/>
      <c r="P385" s="14"/>
      <c r="Q385" s="6"/>
      <c r="R385" s="6"/>
      <c r="S385" s="6"/>
    </row>
    <row r="386" spans="1:19" ht="14.25" customHeight="1" x14ac:dyDescent="0.15">
      <c r="A386" s="156" t="s">
        <v>137</v>
      </c>
      <c r="B386" s="157"/>
      <c r="C386" s="203">
        <v>18200</v>
      </c>
      <c r="D386" s="203"/>
      <c r="E386" s="159" t="s">
        <v>85</v>
      </c>
      <c r="F386" s="160"/>
      <c r="G386" s="204">
        <v>32.729999999999997</v>
      </c>
      <c r="H386" s="204"/>
      <c r="I386" s="162">
        <v>596000</v>
      </c>
      <c r="J386" s="163"/>
      <c r="K386" s="156" t="s">
        <v>229</v>
      </c>
      <c r="L386" s="157"/>
      <c r="M386" s="157"/>
      <c r="N386" s="157"/>
      <c r="O386" s="205"/>
      <c r="P386" s="14"/>
      <c r="Q386" s="6"/>
      <c r="R386" s="6"/>
      <c r="S386" s="6"/>
    </row>
    <row r="387" spans="1:19" ht="14.25" customHeight="1" x14ac:dyDescent="0.15">
      <c r="A387" s="183" t="s">
        <v>230</v>
      </c>
      <c r="B387" s="184"/>
      <c r="C387" s="185">
        <v>13000</v>
      </c>
      <c r="D387" s="185"/>
      <c r="E387" s="186" t="s">
        <v>85</v>
      </c>
      <c r="F387" s="187"/>
      <c r="G387" s="188">
        <v>113.05</v>
      </c>
      <c r="H387" s="188"/>
      <c r="I387" s="189">
        <v>1469650</v>
      </c>
      <c r="J387" s="190"/>
      <c r="K387" s="191"/>
      <c r="L387" s="192"/>
      <c r="M387" s="192"/>
      <c r="N387" s="192"/>
      <c r="O387" s="193"/>
      <c r="P387" s="14"/>
      <c r="Q387" s="6"/>
      <c r="R387" s="6"/>
      <c r="S387" s="6"/>
    </row>
    <row r="388" spans="1:19" ht="14.25" customHeight="1" x14ac:dyDescent="0.15">
      <c r="A388" s="128"/>
      <c r="B388" s="129"/>
      <c r="C388" s="129"/>
      <c r="D388" s="129"/>
      <c r="E388" s="129"/>
      <c r="F388" s="129"/>
      <c r="G388" s="129"/>
      <c r="H388" s="129"/>
      <c r="I388" s="129"/>
      <c r="J388" s="130"/>
      <c r="K388" s="128"/>
      <c r="L388" s="129"/>
      <c r="M388" s="129"/>
      <c r="N388" s="129"/>
      <c r="O388" s="130"/>
      <c r="P388" s="14"/>
      <c r="Q388" s="6"/>
      <c r="R388" s="6"/>
      <c r="S388" s="6"/>
    </row>
    <row r="389" spans="1:19" ht="14.25" customHeight="1" x14ac:dyDescent="0.15">
      <c r="A389" s="131" t="s">
        <v>139</v>
      </c>
      <c r="B389" s="132"/>
      <c r="C389" s="152"/>
      <c r="D389" s="152"/>
      <c r="E389" s="152"/>
      <c r="F389" s="152"/>
      <c r="G389" s="152"/>
      <c r="H389" s="152"/>
      <c r="I389" s="153">
        <v>2472000</v>
      </c>
      <c r="J389" s="154"/>
      <c r="K389" s="155">
        <v>3288000</v>
      </c>
      <c r="L389" s="153"/>
      <c r="M389" s="153"/>
      <c r="N389" s="153"/>
      <c r="O389" s="154"/>
      <c r="P389" s="14"/>
      <c r="Q389" s="6"/>
      <c r="R389" s="6"/>
      <c r="S389" s="6"/>
    </row>
    <row r="390" spans="1:19" ht="14.25" customHeight="1" x14ac:dyDescent="0.15">
      <c r="A390" s="156" t="s">
        <v>231</v>
      </c>
      <c r="B390" s="157"/>
      <c r="C390" s="198"/>
      <c r="D390" s="198"/>
      <c r="E390" s="198"/>
      <c r="F390" s="198"/>
      <c r="G390" s="198"/>
      <c r="H390" s="198"/>
      <c r="I390" s="198"/>
      <c r="J390" s="199"/>
      <c r="K390" s="200"/>
      <c r="L390" s="198"/>
      <c r="M390" s="198"/>
      <c r="N390" s="198"/>
      <c r="O390" s="199"/>
      <c r="P390" s="14"/>
      <c r="Q390" s="6"/>
      <c r="R390" s="6"/>
      <c r="S390" s="6"/>
    </row>
    <row r="391" spans="1:19" ht="14.25" customHeight="1" x14ac:dyDescent="0.15">
      <c r="A391" s="194" t="s">
        <v>190</v>
      </c>
      <c r="B391" s="171"/>
      <c r="C391" s="178">
        <v>4500</v>
      </c>
      <c r="D391" s="178"/>
      <c r="E391" s="173" t="s">
        <v>85</v>
      </c>
      <c r="F391" s="174"/>
      <c r="G391" s="179">
        <v>220.15</v>
      </c>
      <c r="H391" s="179"/>
      <c r="I391" s="176">
        <v>991000</v>
      </c>
      <c r="J391" s="177"/>
      <c r="K391" s="170" t="s">
        <v>142</v>
      </c>
      <c r="L391" s="171"/>
      <c r="M391" s="171"/>
      <c r="N391" s="171"/>
      <c r="O391" s="195"/>
      <c r="P391" s="14"/>
      <c r="Q391" s="6"/>
      <c r="R391" s="6"/>
      <c r="S391" s="6"/>
    </row>
    <row r="392" spans="1:19" ht="14.25" customHeight="1" x14ac:dyDescent="0.15">
      <c r="A392" s="194" t="s">
        <v>193</v>
      </c>
      <c r="B392" s="171"/>
      <c r="C392" s="178">
        <v>53000</v>
      </c>
      <c r="D392" s="178"/>
      <c r="E392" s="173" t="s">
        <v>85</v>
      </c>
      <c r="F392" s="174"/>
      <c r="G392" s="179">
        <v>14.88</v>
      </c>
      <c r="H392" s="179"/>
      <c r="I392" s="176">
        <v>789000</v>
      </c>
      <c r="J392" s="177"/>
      <c r="K392" s="180"/>
      <c r="L392" s="181"/>
      <c r="M392" s="181"/>
      <c r="N392" s="181"/>
      <c r="O392" s="182"/>
      <c r="P392" s="14"/>
      <c r="Q392" s="6"/>
      <c r="R392" s="6"/>
      <c r="S392" s="6"/>
    </row>
    <row r="393" spans="1:19" ht="14.25" customHeight="1" x14ac:dyDescent="0.15">
      <c r="A393" s="279" t="s">
        <v>194</v>
      </c>
      <c r="B393" s="184"/>
      <c r="C393" s="185">
        <v>166000</v>
      </c>
      <c r="D393" s="185"/>
      <c r="E393" s="186" t="s">
        <v>85</v>
      </c>
      <c r="F393" s="187"/>
      <c r="G393" s="188">
        <v>4.17</v>
      </c>
      <c r="H393" s="188"/>
      <c r="I393" s="189">
        <v>692000</v>
      </c>
      <c r="J393" s="190"/>
      <c r="K393" s="191"/>
      <c r="L393" s="192"/>
      <c r="M393" s="192"/>
      <c r="N393" s="192"/>
      <c r="O393" s="193"/>
      <c r="P393" s="14"/>
      <c r="Q393" s="6"/>
      <c r="R393" s="6"/>
      <c r="S393" s="6"/>
    </row>
    <row r="394" spans="1:19" ht="14.25" customHeight="1" x14ac:dyDescent="0.15">
      <c r="A394" s="128"/>
      <c r="B394" s="129"/>
      <c r="C394" s="129"/>
      <c r="D394" s="129"/>
      <c r="E394" s="129"/>
      <c r="F394" s="129"/>
      <c r="G394" s="129"/>
      <c r="H394" s="129"/>
      <c r="I394" s="129"/>
      <c r="J394" s="130"/>
      <c r="K394" s="128"/>
      <c r="L394" s="129"/>
      <c r="M394" s="129"/>
      <c r="N394" s="129"/>
      <c r="O394" s="130"/>
      <c r="P394" s="14"/>
      <c r="Q394" s="6"/>
      <c r="R394" s="6"/>
      <c r="S394" s="6"/>
    </row>
    <row r="395" spans="1:19" ht="14.25" customHeight="1" x14ac:dyDescent="0.15">
      <c r="A395" s="131" t="s">
        <v>143</v>
      </c>
      <c r="B395" s="132"/>
      <c r="C395" s="152"/>
      <c r="D395" s="152"/>
      <c r="E395" s="152"/>
      <c r="F395" s="152"/>
      <c r="G395" s="152"/>
      <c r="H395" s="152"/>
      <c r="I395" s="153">
        <v>1430000</v>
      </c>
      <c r="J395" s="154"/>
      <c r="K395" s="155">
        <v>1430000</v>
      </c>
      <c r="L395" s="153"/>
      <c r="M395" s="153"/>
      <c r="N395" s="153"/>
      <c r="O395" s="154"/>
      <c r="P395" s="14"/>
      <c r="Q395" s="6"/>
      <c r="R395" s="6"/>
      <c r="S395" s="6"/>
    </row>
    <row r="396" spans="1:19" ht="14.25" customHeight="1" x14ac:dyDescent="0.15">
      <c r="A396" s="156" t="s">
        <v>195</v>
      </c>
      <c r="B396" s="157"/>
      <c r="C396" s="158">
        <v>30</v>
      </c>
      <c r="D396" s="158"/>
      <c r="E396" s="159" t="s">
        <v>83</v>
      </c>
      <c r="F396" s="160"/>
      <c r="G396" s="161">
        <v>41650</v>
      </c>
      <c r="H396" s="161"/>
      <c r="I396" s="162">
        <v>1250000</v>
      </c>
      <c r="J396" s="163"/>
      <c r="K396" s="206"/>
      <c r="L396" s="207"/>
      <c r="M396" s="207"/>
      <c r="N396" s="207"/>
      <c r="O396" s="208"/>
      <c r="P396" s="14"/>
      <c r="Q396" s="6"/>
      <c r="R396" s="6"/>
      <c r="S396" s="6"/>
    </row>
    <row r="397" spans="1:19" ht="14.25" customHeight="1" x14ac:dyDescent="0.15">
      <c r="A397" s="170" t="s">
        <v>196</v>
      </c>
      <c r="B397" s="171"/>
      <c r="C397" s="172">
        <v>1</v>
      </c>
      <c r="D397" s="172"/>
      <c r="E397" s="173" t="s">
        <v>83</v>
      </c>
      <c r="F397" s="174"/>
      <c r="G397" s="175">
        <v>60000</v>
      </c>
      <c r="H397" s="175"/>
      <c r="I397" s="176">
        <v>60000</v>
      </c>
      <c r="J397" s="177"/>
      <c r="K397" s="209"/>
      <c r="L397" s="210"/>
      <c r="M397" s="210"/>
      <c r="N397" s="210"/>
      <c r="O397" s="211"/>
      <c r="P397" s="14"/>
      <c r="Q397" s="6"/>
      <c r="R397" s="6"/>
      <c r="S397" s="6"/>
    </row>
    <row r="398" spans="1:19" ht="18" customHeight="1" x14ac:dyDescent="0.15">
      <c r="A398" s="170" t="s">
        <v>232</v>
      </c>
      <c r="B398" s="171"/>
      <c r="C398" s="172">
        <v>1</v>
      </c>
      <c r="D398" s="172"/>
      <c r="E398" s="173" t="s">
        <v>83</v>
      </c>
      <c r="F398" s="174"/>
      <c r="G398" s="175">
        <v>60000</v>
      </c>
      <c r="H398" s="175"/>
      <c r="I398" s="176">
        <v>60000</v>
      </c>
      <c r="J398" s="177"/>
      <c r="K398" s="209"/>
      <c r="L398" s="210"/>
      <c r="M398" s="210"/>
      <c r="N398" s="210"/>
      <c r="O398" s="211"/>
      <c r="P398" s="14"/>
      <c r="Q398" s="6"/>
      <c r="R398" s="6"/>
      <c r="S398" s="6"/>
    </row>
    <row r="399" spans="1:19" ht="24" customHeight="1" x14ac:dyDescent="0.15">
      <c r="A399" s="183" t="s">
        <v>149</v>
      </c>
      <c r="B399" s="184"/>
      <c r="C399" s="201">
        <v>1</v>
      </c>
      <c r="D399" s="201"/>
      <c r="E399" s="186" t="s">
        <v>83</v>
      </c>
      <c r="F399" s="187"/>
      <c r="G399" s="202">
        <v>60000</v>
      </c>
      <c r="H399" s="202"/>
      <c r="I399" s="189">
        <v>60000</v>
      </c>
      <c r="J399" s="190"/>
      <c r="K399" s="127"/>
      <c r="L399" s="125"/>
      <c r="M399" s="125"/>
      <c r="N399" s="125"/>
      <c r="O399" s="126"/>
      <c r="P399" s="14"/>
      <c r="Q399" s="6"/>
      <c r="R399" s="6"/>
      <c r="S399" s="6"/>
    </row>
    <row r="400" spans="1:19" ht="14.25" customHeight="1" x14ac:dyDescent="0.15">
      <c r="A400" s="128"/>
      <c r="B400" s="129"/>
      <c r="C400" s="129"/>
      <c r="D400" s="129"/>
      <c r="E400" s="129"/>
      <c r="F400" s="129"/>
      <c r="G400" s="129"/>
      <c r="H400" s="129"/>
      <c r="I400" s="129"/>
      <c r="J400" s="130"/>
      <c r="K400" s="128"/>
      <c r="L400" s="129"/>
      <c r="M400" s="129"/>
      <c r="N400" s="129"/>
      <c r="O400" s="130"/>
      <c r="P400" s="14"/>
      <c r="Q400" s="6"/>
      <c r="R400" s="6"/>
      <c r="S400" s="6"/>
    </row>
    <row r="401" spans="1:19" ht="14.25" customHeight="1" x14ac:dyDescent="0.15">
      <c r="A401" s="131" t="s">
        <v>150</v>
      </c>
      <c r="B401" s="132"/>
      <c r="C401" s="152"/>
      <c r="D401" s="152"/>
      <c r="E401" s="152"/>
      <c r="F401" s="152"/>
      <c r="G401" s="152"/>
      <c r="H401" s="152"/>
      <c r="I401" s="153">
        <v>667000</v>
      </c>
      <c r="J401" s="154"/>
      <c r="K401" s="155">
        <v>667000</v>
      </c>
      <c r="L401" s="153"/>
      <c r="M401" s="153"/>
      <c r="N401" s="153"/>
      <c r="O401" s="154"/>
      <c r="P401" s="14"/>
      <c r="Q401" s="6"/>
      <c r="R401" s="6"/>
      <c r="S401" s="6"/>
    </row>
    <row r="402" spans="1:19" ht="38.25" customHeight="1" x14ac:dyDescent="0.15">
      <c r="A402" s="137" t="s">
        <v>151</v>
      </c>
      <c r="B402" s="138"/>
      <c r="C402" s="273">
        <v>32</v>
      </c>
      <c r="D402" s="273"/>
      <c r="E402" s="274" t="s">
        <v>83</v>
      </c>
      <c r="F402" s="275"/>
      <c r="G402" s="276">
        <v>20825</v>
      </c>
      <c r="H402" s="276"/>
      <c r="I402" s="277">
        <v>667000</v>
      </c>
      <c r="J402" s="278"/>
      <c r="K402" s="140"/>
      <c r="L402" s="141"/>
      <c r="M402" s="141"/>
      <c r="N402" s="141"/>
      <c r="O402" s="142"/>
      <c r="P402" s="14"/>
      <c r="Q402" s="6"/>
      <c r="R402" s="6"/>
      <c r="S402" s="6"/>
    </row>
    <row r="403" spans="1:19" ht="14.25" customHeight="1" x14ac:dyDescent="0.15">
      <c r="A403" s="128"/>
      <c r="B403" s="129"/>
      <c r="C403" s="129"/>
      <c r="D403" s="129"/>
      <c r="E403" s="129"/>
      <c r="F403" s="129"/>
      <c r="G403" s="129"/>
      <c r="H403" s="129"/>
      <c r="I403" s="129"/>
      <c r="J403" s="130"/>
      <c r="K403" s="128"/>
      <c r="L403" s="129"/>
      <c r="M403" s="129"/>
      <c r="N403" s="129"/>
      <c r="O403" s="130"/>
      <c r="P403" s="14"/>
      <c r="Q403" s="6"/>
      <c r="R403" s="6"/>
      <c r="S403" s="6"/>
    </row>
    <row r="404" spans="1:19" ht="14.25" customHeight="1" x14ac:dyDescent="0.15">
      <c r="A404" s="260" t="s">
        <v>152</v>
      </c>
      <c r="B404" s="261"/>
      <c r="C404" s="262"/>
      <c r="D404" s="262"/>
      <c r="E404" s="262"/>
      <c r="F404" s="262"/>
      <c r="G404" s="262"/>
      <c r="H404" s="262"/>
      <c r="I404" s="263">
        <v>39474000</v>
      </c>
      <c r="J404" s="264"/>
      <c r="K404" s="265">
        <v>51816000</v>
      </c>
      <c r="L404" s="266"/>
      <c r="M404" s="266"/>
      <c r="N404" s="266"/>
      <c r="O404" s="267"/>
      <c r="P404" s="14"/>
      <c r="Q404" s="6"/>
      <c r="R404" s="6"/>
      <c r="S404" s="6"/>
    </row>
    <row r="405" spans="1:19" ht="14.25" customHeight="1" x14ac:dyDescent="0.15">
      <c r="A405" s="149"/>
      <c r="B405" s="150"/>
      <c r="C405" s="150"/>
      <c r="D405" s="150"/>
      <c r="E405" s="150"/>
      <c r="F405" s="150"/>
      <c r="G405" s="150"/>
      <c r="H405" s="150"/>
      <c r="I405" s="150"/>
      <c r="J405" s="151"/>
      <c r="K405" s="149"/>
      <c r="L405" s="150"/>
      <c r="M405" s="150"/>
      <c r="N405" s="150"/>
      <c r="O405" s="151"/>
      <c r="P405" s="14"/>
      <c r="Q405" s="6"/>
      <c r="R405" s="6"/>
      <c r="S405" s="6"/>
    </row>
    <row r="406" spans="1:19" ht="66" customHeight="1" x14ac:dyDescent="0.15">
      <c r="A406" s="268" t="s">
        <v>56</v>
      </c>
      <c r="B406" s="269"/>
      <c r="C406" s="269"/>
      <c r="D406" s="269"/>
      <c r="E406" s="269"/>
      <c r="F406" s="269"/>
      <c r="G406" s="269"/>
      <c r="H406" s="269"/>
      <c r="I406" s="269"/>
      <c r="J406" s="269"/>
      <c r="K406" s="269"/>
      <c r="L406" s="269"/>
      <c r="M406" s="269"/>
      <c r="N406" s="269"/>
      <c r="O406" s="269"/>
      <c r="P406" s="168"/>
      <c r="Q406" s="168"/>
      <c r="R406" s="168"/>
      <c r="S406" s="6"/>
    </row>
    <row r="407" spans="1:19" ht="17.25" customHeight="1" x14ac:dyDescent="0.15">
      <c r="A407" s="270" t="s">
        <v>233</v>
      </c>
      <c r="B407" s="271"/>
      <c r="C407" s="271"/>
      <c r="D407" s="271"/>
      <c r="E407" s="271"/>
      <c r="F407" s="271"/>
      <c r="G407" s="271"/>
      <c r="H407" s="271"/>
      <c r="I407" s="271"/>
      <c r="J407" s="271"/>
      <c r="K407" s="271"/>
      <c r="L407" s="271"/>
      <c r="M407" s="271"/>
      <c r="N407" s="271"/>
      <c r="O407" s="271"/>
      <c r="P407" s="272"/>
      <c r="Q407" s="181"/>
      <c r="R407" s="181"/>
      <c r="S407" s="6"/>
    </row>
    <row r="408" spans="1:19" ht="12.75" customHeight="1" x14ac:dyDescent="0.15">
      <c r="A408" s="9"/>
      <c r="B408" s="150"/>
      <c r="C408" s="150"/>
      <c r="D408" s="150"/>
      <c r="E408" s="150"/>
      <c r="F408" s="150"/>
      <c r="G408" s="150"/>
      <c r="H408" s="150"/>
      <c r="I408" s="150"/>
      <c r="J408" s="150"/>
      <c r="K408" s="150"/>
      <c r="L408" s="150"/>
      <c r="M408" s="150"/>
      <c r="N408" s="150"/>
      <c r="O408" s="150"/>
      <c r="P408" s="181"/>
      <c r="Q408" s="181"/>
      <c r="R408" s="181"/>
      <c r="S408" s="6"/>
    </row>
    <row r="409" spans="1:19" ht="42.75" customHeight="1" x14ac:dyDescent="0.15">
      <c r="A409" s="10"/>
      <c r="B409" s="248" t="s">
        <v>58</v>
      </c>
      <c r="C409" s="249"/>
      <c r="D409" s="250"/>
      <c r="E409" s="251" t="s">
        <v>59</v>
      </c>
      <c r="F409" s="250"/>
      <c r="G409" s="248" t="s">
        <v>60</v>
      </c>
      <c r="H409" s="250"/>
      <c r="I409" s="252" t="s">
        <v>61</v>
      </c>
      <c r="J409" s="253"/>
      <c r="K409" s="254" t="s">
        <v>62</v>
      </c>
      <c r="L409" s="255"/>
      <c r="M409" s="255"/>
      <c r="N409" s="255"/>
      <c r="O409" s="256"/>
      <c r="P409" s="209"/>
      <c r="Q409" s="210"/>
      <c r="R409" s="210"/>
      <c r="S409" s="6"/>
    </row>
    <row r="410" spans="1:19" ht="14.25" customHeight="1" x14ac:dyDescent="0.15">
      <c r="A410" s="128"/>
      <c r="B410" s="129"/>
      <c r="C410" s="129"/>
      <c r="D410" s="129"/>
      <c r="E410" s="129"/>
      <c r="F410" s="129"/>
      <c r="G410" s="129"/>
      <c r="H410" s="129"/>
      <c r="I410" s="129"/>
      <c r="J410" s="130"/>
      <c r="K410" s="128"/>
      <c r="L410" s="129"/>
      <c r="M410" s="129"/>
      <c r="N410" s="129"/>
      <c r="O410" s="130"/>
      <c r="P410" s="180"/>
      <c r="Q410" s="181"/>
      <c r="R410" s="181"/>
      <c r="S410" s="6"/>
    </row>
    <row r="411" spans="1:19" ht="14.25" customHeight="1" x14ac:dyDescent="0.15">
      <c r="A411" s="8" t="s">
        <v>63</v>
      </c>
      <c r="B411" s="152"/>
      <c r="C411" s="152"/>
      <c r="D411" s="152"/>
      <c r="E411" s="152"/>
      <c r="F411" s="152"/>
      <c r="G411" s="152"/>
      <c r="H411" s="152"/>
      <c r="I411" s="135">
        <v>14700000</v>
      </c>
      <c r="J411" s="136"/>
      <c r="K411" s="155">
        <v>19551000</v>
      </c>
      <c r="L411" s="153"/>
      <c r="M411" s="153"/>
      <c r="N411" s="153"/>
      <c r="O411" s="154"/>
      <c r="P411" s="180"/>
      <c r="Q411" s="181"/>
      <c r="R411" s="181"/>
      <c r="S411" s="6"/>
    </row>
    <row r="412" spans="1:19" ht="267.75" customHeight="1" x14ac:dyDescent="0.15">
      <c r="A412" s="218" t="s">
        <v>234</v>
      </c>
      <c r="B412" s="222" t="s">
        <v>235</v>
      </c>
      <c r="C412" s="207"/>
      <c r="D412" s="207"/>
      <c r="E412" s="220" t="s">
        <v>236</v>
      </c>
      <c r="F412" s="221"/>
      <c r="G412" s="222" t="s">
        <v>237</v>
      </c>
      <c r="H412" s="207"/>
      <c r="I412" s="222" t="s">
        <v>238</v>
      </c>
      <c r="J412" s="208"/>
      <c r="K412" s="257" t="s">
        <v>239</v>
      </c>
      <c r="L412" s="258"/>
      <c r="M412" s="258"/>
      <c r="N412" s="258"/>
      <c r="O412" s="259"/>
      <c r="P412" s="209"/>
      <c r="Q412" s="210"/>
      <c r="R412" s="210"/>
      <c r="S412" s="6"/>
    </row>
    <row r="413" spans="1:19" ht="14.25" customHeight="1" x14ac:dyDescent="0.15">
      <c r="A413" s="209"/>
      <c r="B413" s="210"/>
      <c r="C413" s="210"/>
      <c r="D413" s="210"/>
      <c r="E413" s="235"/>
      <c r="F413" s="235"/>
      <c r="G413" s="210"/>
      <c r="H413" s="210"/>
      <c r="I413" s="210"/>
      <c r="J413" s="211"/>
      <c r="K413" s="170" t="s">
        <v>240</v>
      </c>
      <c r="L413" s="171"/>
      <c r="M413" s="171"/>
      <c r="N413" s="171"/>
      <c r="O413" s="195"/>
      <c r="P413" s="180"/>
      <c r="Q413" s="181"/>
      <c r="R413" s="181"/>
      <c r="S413" s="6"/>
    </row>
    <row r="414" spans="1:19" ht="35.25" customHeight="1" x14ac:dyDescent="0.15">
      <c r="A414" s="209"/>
      <c r="B414" s="210"/>
      <c r="C414" s="210"/>
      <c r="D414" s="210"/>
      <c r="E414" s="235"/>
      <c r="F414" s="235"/>
      <c r="G414" s="210"/>
      <c r="H414" s="210"/>
      <c r="I414" s="210"/>
      <c r="J414" s="211"/>
      <c r="K414" s="170" t="s">
        <v>241</v>
      </c>
      <c r="L414" s="171"/>
      <c r="M414" s="171"/>
      <c r="N414" s="171"/>
      <c r="O414" s="195"/>
      <c r="P414" s="167"/>
      <c r="Q414" s="168"/>
      <c r="R414" s="168"/>
      <c r="S414" s="6"/>
    </row>
    <row r="415" spans="1:19" ht="49" customHeight="1" x14ac:dyDescent="0.15">
      <c r="A415" s="209"/>
      <c r="B415" s="210"/>
      <c r="C415" s="210"/>
      <c r="D415" s="210"/>
      <c r="E415" s="235"/>
      <c r="F415" s="235"/>
      <c r="G415" s="210"/>
      <c r="H415" s="210"/>
      <c r="I415" s="210"/>
      <c r="J415" s="211"/>
      <c r="K415" s="237" t="s">
        <v>72</v>
      </c>
      <c r="L415" s="238"/>
      <c r="M415" s="238"/>
      <c r="N415" s="238"/>
      <c r="O415" s="239"/>
      <c r="P415" s="209"/>
      <c r="Q415" s="210"/>
      <c r="R415" s="210"/>
      <c r="S415" s="6"/>
    </row>
    <row r="416" spans="1:19" ht="151" customHeight="1" x14ac:dyDescent="0.15">
      <c r="A416" s="127"/>
      <c r="B416" s="125"/>
      <c r="C416" s="125"/>
      <c r="D416" s="125"/>
      <c r="E416" s="236"/>
      <c r="F416" s="236"/>
      <c r="G416" s="125"/>
      <c r="H416" s="125"/>
      <c r="I416" s="125"/>
      <c r="J416" s="126"/>
      <c r="K416" s="183" t="s">
        <v>74</v>
      </c>
      <c r="L416" s="184"/>
      <c r="M416" s="184"/>
      <c r="N416" s="184"/>
      <c r="O416" s="197"/>
      <c r="P416" s="209"/>
      <c r="Q416" s="210"/>
      <c r="R416" s="210"/>
      <c r="S416" s="6"/>
    </row>
    <row r="417" spans="1:19" ht="14.25" customHeight="1" x14ac:dyDescent="0.15">
      <c r="A417" s="128"/>
      <c r="B417" s="129"/>
      <c r="C417" s="129"/>
      <c r="D417" s="129"/>
      <c r="E417" s="129"/>
      <c r="F417" s="129"/>
      <c r="G417" s="129"/>
      <c r="H417" s="129"/>
      <c r="I417" s="129"/>
      <c r="J417" s="130"/>
      <c r="K417" s="128"/>
      <c r="L417" s="129"/>
      <c r="M417" s="129"/>
      <c r="N417" s="129"/>
      <c r="O417" s="130"/>
      <c r="P417" s="180"/>
      <c r="Q417" s="181"/>
      <c r="R417" s="181"/>
      <c r="S417" s="6"/>
    </row>
    <row r="418" spans="1:19" ht="14.25" customHeight="1" x14ac:dyDescent="0.15">
      <c r="A418" s="8" t="s">
        <v>75</v>
      </c>
      <c r="B418" s="152"/>
      <c r="C418" s="152"/>
      <c r="D418" s="152"/>
      <c r="E418" s="152"/>
      <c r="F418" s="152"/>
      <c r="G418" s="152"/>
      <c r="H418" s="152"/>
      <c r="I418" s="135">
        <v>2273000</v>
      </c>
      <c r="J418" s="136"/>
      <c r="K418" s="155">
        <v>3024000</v>
      </c>
      <c r="L418" s="153"/>
      <c r="M418" s="153"/>
      <c r="N418" s="153"/>
      <c r="O418" s="154"/>
      <c r="P418" s="180"/>
      <c r="Q418" s="181"/>
      <c r="R418" s="181"/>
      <c r="S418" s="6"/>
    </row>
    <row r="419" spans="1:19" ht="71.25" customHeight="1" x14ac:dyDescent="0.15">
      <c r="A419" s="11" t="s">
        <v>242</v>
      </c>
      <c r="B419" s="219" t="s">
        <v>243</v>
      </c>
      <c r="C419" s="207"/>
      <c r="D419" s="207"/>
      <c r="E419" s="159" t="s">
        <v>244</v>
      </c>
      <c r="F419" s="160"/>
      <c r="G419" s="222" t="s">
        <v>245</v>
      </c>
      <c r="H419" s="207"/>
      <c r="I419" s="222" t="s">
        <v>246</v>
      </c>
      <c r="J419" s="208"/>
      <c r="K419" s="206"/>
      <c r="L419" s="207"/>
      <c r="M419" s="207"/>
      <c r="N419" s="207"/>
      <c r="O419" s="208"/>
      <c r="P419" s="209"/>
      <c r="Q419" s="210"/>
      <c r="R419" s="210"/>
      <c r="S419" s="6"/>
    </row>
    <row r="420" spans="1:19" ht="29.25" customHeight="1" x14ac:dyDescent="0.15">
      <c r="A420" s="240" t="s">
        <v>247</v>
      </c>
      <c r="B420" s="125"/>
      <c r="C420" s="241" t="s">
        <v>248</v>
      </c>
      <c r="D420" s="242"/>
      <c r="E420" s="243" t="s">
        <v>249</v>
      </c>
      <c r="F420" s="236"/>
      <c r="G420" s="244" t="s">
        <v>250</v>
      </c>
      <c r="H420" s="125"/>
      <c r="I420" s="244" t="s">
        <v>251</v>
      </c>
      <c r="J420" s="126"/>
      <c r="K420" s="245"/>
      <c r="L420" s="246"/>
      <c r="M420" s="246"/>
      <c r="N420" s="246"/>
      <c r="O420" s="247"/>
      <c r="P420" s="14"/>
      <c r="Q420" s="6"/>
      <c r="R420" s="6"/>
      <c r="S420" s="6"/>
    </row>
    <row r="421" spans="1:19" ht="14.25" customHeight="1" x14ac:dyDescent="0.15">
      <c r="A421" s="128"/>
      <c r="B421" s="129"/>
      <c r="C421" s="129"/>
      <c r="D421" s="129"/>
      <c r="E421" s="129"/>
      <c r="F421" s="129"/>
      <c r="G421" s="129"/>
      <c r="H421" s="129"/>
      <c r="I421" s="129"/>
      <c r="J421" s="130"/>
      <c r="K421" s="128"/>
      <c r="L421" s="129"/>
      <c r="M421" s="129"/>
      <c r="N421" s="129"/>
      <c r="O421" s="130"/>
      <c r="P421" s="14"/>
      <c r="Q421" s="6"/>
      <c r="R421" s="6"/>
      <c r="S421" s="6"/>
    </row>
    <row r="422" spans="1:19" ht="14.25" customHeight="1" x14ac:dyDescent="0.15">
      <c r="A422" s="131" t="s">
        <v>81</v>
      </c>
      <c r="B422" s="132"/>
      <c r="C422" s="152"/>
      <c r="D422" s="152"/>
      <c r="E422" s="152"/>
      <c r="F422" s="152"/>
      <c r="G422" s="152"/>
      <c r="H422" s="152"/>
      <c r="I422" s="226" t="s">
        <v>114</v>
      </c>
      <c r="J422" s="133"/>
      <c r="K422" s="131" t="s">
        <v>115</v>
      </c>
      <c r="L422" s="132"/>
      <c r="M422" s="132"/>
      <c r="N422" s="132"/>
      <c r="O422" s="133"/>
      <c r="P422" s="14"/>
      <c r="Q422" s="6"/>
      <c r="R422" s="6"/>
      <c r="S422" s="6"/>
    </row>
    <row r="423" spans="1:19" ht="14.25" customHeight="1" x14ac:dyDescent="0.15">
      <c r="A423" s="227" t="s">
        <v>116</v>
      </c>
      <c r="B423" s="228"/>
      <c r="C423" s="228"/>
      <c r="D423" s="228"/>
      <c r="E423" s="228"/>
      <c r="F423" s="228"/>
      <c r="G423" s="228"/>
      <c r="H423" s="228"/>
      <c r="I423" s="228"/>
      <c r="J423" s="229"/>
      <c r="K423" s="149"/>
      <c r="L423" s="150"/>
      <c r="M423" s="150"/>
      <c r="N423" s="150"/>
      <c r="O423" s="151"/>
      <c r="P423" s="14"/>
      <c r="Q423" s="6"/>
      <c r="R423" s="6"/>
      <c r="S423" s="6"/>
    </row>
    <row r="424" spans="1:19" ht="14.25" customHeight="1" x14ac:dyDescent="0.15">
      <c r="A424" s="128"/>
      <c r="B424" s="129"/>
      <c r="C424" s="129"/>
      <c r="D424" s="129"/>
      <c r="E424" s="129"/>
      <c r="F424" s="129"/>
      <c r="G424" s="129"/>
      <c r="H424" s="129"/>
      <c r="I424" s="129"/>
      <c r="J424" s="130"/>
      <c r="K424" s="128"/>
      <c r="L424" s="129"/>
      <c r="M424" s="129"/>
      <c r="N424" s="129"/>
      <c r="O424" s="130"/>
      <c r="P424" s="14"/>
      <c r="Q424" s="6"/>
      <c r="R424" s="6"/>
      <c r="S424" s="6"/>
    </row>
    <row r="425" spans="1:19" ht="14.25" customHeight="1" x14ac:dyDescent="0.15">
      <c r="A425" s="131" t="s">
        <v>90</v>
      </c>
      <c r="B425" s="132"/>
      <c r="C425" s="152"/>
      <c r="D425" s="152"/>
      <c r="E425" s="152"/>
      <c r="F425" s="152"/>
      <c r="G425" s="152"/>
      <c r="H425" s="152"/>
      <c r="I425" s="153">
        <v>31592000</v>
      </c>
      <c r="J425" s="154"/>
      <c r="K425" s="155">
        <v>42018000</v>
      </c>
      <c r="L425" s="153"/>
      <c r="M425" s="153"/>
      <c r="N425" s="153"/>
      <c r="O425" s="154"/>
      <c r="P425" s="14"/>
      <c r="Q425" s="6"/>
      <c r="R425" s="6"/>
      <c r="S425" s="6"/>
    </row>
    <row r="426" spans="1:19" ht="42" customHeight="1" x14ac:dyDescent="0.15">
      <c r="A426" s="218" t="s">
        <v>252</v>
      </c>
      <c r="B426" s="207"/>
      <c r="C426" s="219" t="s">
        <v>253</v>
      </c>
      <c r="D426" s="207"/>
      <c r="E426" s="220" t="s">
        <v>254</v>
      </c>
      <c r="F426" s="221"/>
      <c r="G426" s="222" t="s">
        <v>255</v>
      </c>
      <c r="H426" s="207"/>
      <c r="I426" s="222" t="s">
        <v>256</v>
      </c>
      <c r="J426" s="208"/>
      <c r="K426" s="223" t="s">
        <v>257</v>
      </c>
      <c r="L426" s="224"/>
      <c r="M426" s="224"/>
      <c r="N426" s="224"/>
      <c r="O426" s="225"/>
      <c r="P426" s="14"/>
      <c r="Q426" s="6"/>
      <c r="R426" s="6"/>
      <c r="S426" s="6"/>
    </row>
    <row r="427" spans="1:19" ht="21" customHeight="1" x14ac:dyDescent="0.15">
      <c r="A427" s="209"/>
      <c r="B427" s="210"/>
      <c r="C427" s="210"/>
      <c r="D427" s="210"/>
      <c r="E427" s="235"/>
      <c r="F427" s="235"/>
      <c r="G427" s="210"/>
      <c r="H427" s="210"/>
      <c r="I427" s="210"/>
      <c r="J427" s="211"/>
      <c r="K427" s="170" t="s">
        <v>216</v>
      </c>
      <c r="L427" s="171"/>
      <c r="M427" s="171"/>
      <c r="N427" s="171"/>
      <c r="O427" s="195"/>
      <c r="P427" s="14"/>
      <c r="Q427" s="6"/>
      <c r="R427" s="6"/>
      <c r="S427" s="6"/>
    </row>
    <row r="428" spans="1:19" ht="35.25" customHeight="1" x14ac:dyDescent="0.15">
      <c r="A428" s="209"/>
      <c r="B428" s="210"/>
      <c r="C428" s="210"/>
      <c r="D428" s="210"/>
      <c r="E428" s="235"/>
      <c r="F428" s="235"/>
      <c r="G428" s="210"/>
      <c r="H428" s="210"/>
      <c r="I428" s="210"/>
      <c r="J428" s="211"/>
      <c r="K428" s="170" t="s">
        <v>216</v>
      </c>
      <c r="L428" s="171"/>
      <c r="M428" s="171"/>
      <c r="N428" s="171"/>
      <c r="O428" s="195"/>
      <c r="P428" s="14"/>
      <c r="Q428" s="6"/>
      <c r="R428" s="6"/>
      <c r="S428" s="6"/>
    </row>
    <row r="429" spans="1:19" ht="28" customHeight="1" x14ac:dyDescent="0.15">
      <c r="A429" s="209"/>
      <c r="B429" s="210"/>
      <c r="C429" s="210"/>
      <c r="D429" s="210"/>
      <c r="E429" s="235"/>
      <c r="F429" s="235"/>
      <c r="G429" s="210"/>
      <c r="H429" s="210"/>
      <c r="I429" s="210"/>
      <c r="J429" s="211"/>
      <c r="K429" s="237" t="s">
        <v>216</v>
      </c>
      <c r="L429" s="238"/>
      <c r="M429" s="238"/>
      <c r="N429" s="238"/>
      <c r="O429" s="239"/>
      <c r="P429" s="14"/>
      <c r="Q429" s="6"/>
      <c r="R429" s="6"/>
      <c r="S429" s="6"/>
    </row>
    <row r="430" spans="1:19" ht="14.25" customHeight="1" x14ac:dyDescent="0.15">
      <c r="A430" s="209"/>
      <c r="B430" s="210"/>
      <c r="C430" s="210"/>
      <c r="D430" s="210"/>
      <c r="E430" s="235"/>
      <c r="F430" s="235"/>
      <c r="G430" s="210"/>
      <c r="H430" s="210"/>
      <c r="I430" s="210"/>
      <c r="J430" s="211"/>
      <c r="K430" s="170" t="s">
        <v>258</v>
      </c>
      <c r="L430" s="171"/>
      <c r="M430" s="171"/>
      <c r="N430" s="171"/>
      <c r="O430" s="195"/>
      <c r="P430" s="14"/>
      <c r="Q430" s="6"/>
      <c r="R430" s="6"/>
      <c r="S430" s="6"/>
    </row>
    <row r="431" spans="1:19" ht="42" customHeight="1" x14ac:dyDescent="0.15">
      <c r="A431" s="209"/>
      <c r="B431" s="210"/>
      <c r="C431" s="210"/>
      <c r="D431" s="210"/>
      <c r="E431" s="235"/>
      <c r="F431" s="235"/>
      <c r="G431" s="210"/>
      <c r="H431" s="210"/>
      <c r="I431" s="210"/>
      <c r="J431" s="211"/>
      <c r="K431" s="170" t="s">
        <v>216</v>
      </c>
      <c r="L431" s="171"/>
      <c r="M431" s="171"/>
      <c r="N431" s="171"/>
      <c r="O431" s="195"/>
      <c r="P431" s="14"/>
      <c r="Q431" s="6"/>
      <c r="R431" s="6"/>
      <c r="S431" s="6"/>
    </row>
    <row r="432" spans="1:19" ht="50.25" customHeight="1" x14ac:dyDescent="0.15">
      <c r="A432" s="209"/>
      <c r="B432" s="210"/>
      <c r="C432" s="210"/>
      <c r="D432" s="210"/>
      <c r="E432" s="235"/>
      <c r="F432" s="235"/>
      <c r="G432" s="210"/>
      <c r="H432" s="210"/>
      <c r="I432" s="210"/>
      <c r="J432" s="211"/>
      <c r="K432" s="237" t="s">
        <v>216</v>
      </c>
      <c r="L432" s="238"/>
      <c r="M432" s="238"/>
      <c r="N432" s="238"/>
      <c r="O432" s="239"/>
      <c r="P432" s="14"/>
      <c r="Q432" s="6"/>
      <c r="R432" s="6"/>
      <c r="S432" s="6"/>
    </row>
    <row r="433" spans="1:19" ht="21" customHeight="1" x14ac:dyDescent="0.15">
      <c r="A433" s="209"/>
      <c r="B433" s="210"/>
      <c r="C433" s="210"/>
      <c r="D433" s="210"/>
      <c r="E433" s="235"/>
      <c r="F433" s="235"/>
      <c r="G433" s="210"/>
      <c r="H433" s="210"/>
      <c r="I433" s="210"/>
      <c r="J433" s="211"/>
      <c r="K433" s="170" t="s">
        <v>259</v>
      </c>
      <c r="L433" s="171"/>
      <c r="M433" s="171"/>
      <c r="N433" s="171"/>
      <c r="O433" s="195"/>
      <c r="P433" s="14"/>
      <c r="Q433" s="6"/>
      <c r="R433" s="6"/>
      <c r="S433" s="6"/>
    </row>
    <row r="434" spans="1:19" ht="14.25" customHeight="1" x14ac:dyDescent="0.15">
      <c r="A434" s="127"/>
      <c r="B434" s="125"/>
      <c r="C434" s="125"/>
      <c r="D434" s="125"/>
      <c r="E434" s="236"/>
      <c r="F434" s="236"/>
      <c r="G434" s="125"/>
      <c r="H434" s="125"/>
      <c r="I434" s="125"/>
      <c r="J434" s="126"/>
      <c r="K434" s="183" t="s">
        <v>216</v>
      </c>
      <c r="L434" s="184"/>
      <c r="M434" s="184"/>
      <c r="N434" s="184"/>
      <c r="O434" s="197"/>
      <c r="P434" s="14"/>
      <c r="Q434" s="6"/>
      <c r="R434" s="6"/>
      <c r="S434" s="6"/>
    </row>
    <row r="435" spans="1:19" ht="14.25" customHeight="1" x14ac:dyDescent="0.15">
      <c r="A435" s="128"/>
      <c r="B435" s="129"/>
      <c r="C435" s="129"/>
      <c r="D435" s="129"/>
      <c r="E435" s="129"/>
      <c r="F435" s="129"/>
      <c r="G435" s="129"/>
      <c r="H435" s="129"/>
      <c r="I435" s="129"/>
      <c r="J435" s="130"/>
      <c r="K435" s="128"/>
      <c r="L435" s="129"/>
      <c r="M435" s="129"/>
      <c r="N435" s="129"/>
      <c r="O435" s="130"/>
      <c r="P435" s="14"/>
      <c r="Q435" s="6"/>
      <c r="R435" s="6"/>
      <c r="S435" s="6"/>
    </row>
    <row r="436" spans="1:19" ht="14.25" customHeight="1" x14ac:dyDescent="0.15">
      <c r="A436" s="131" t="s">
        <v>92</v>
      </c>
      <c r="B436" s="132"/>
      <c r="C436" s="152"/>
      <c r="D436" s="152"/>
      <c r="E436" s="152"/>
      <c r="F436" s="152"/>
      <c r="G436" s="152"/>
      <c r="H436" s="152"/>
      <c r="I436" s="153">
        <v>2444000</v>
      </c>
      <c r="J436" s="154"/>
      <c r="K436" s="155">
        <v>3251000</v>
      </c>
      <c r="L436" s="153"/>
      <c r="M436" s="153"/>
      <c r="N436" s="153"/>
      <c r="O436" s="154"/>
      <c r="P436" s="14"/>
      <c r="Q436" s="6"/>
      <c r="R436" s="6"/>
      <c r="S436" s="6"/>
    </row>
    <row r="437" spans="1:19" ht="56.25" customHeight="1" x14ac:dyDescent="0.15">
      <c r="A437" s="230" t="s">
        <v>260</v>
      </c>
      <c r="B437" s="138"/>
      <c r="C437" s="231" t="s">
        <v>261</v>
      </c>
      <c r="D437" s="138"/>
      <c r="E437" s="232" t="s">
        <v>78</v>
      </c>
      <c r="F437" s="233"/>
      <c r="G437" s="230" t="s">
        <v>262</v>
      </c>
      <c r="H437" s="138"/>
      <c r="I437" s="230" t="s">
        <v>263</v>
      </c>
      <c r="J437" s="139"/>
      <c r="K437" s="234"/>
      <c r="L437" s="138"/>
      <c r="M437" s="138"/>
      <c r="N437" s="138"/>
      <c r="O437" s="138"/>
      <c r="P437" s="6"/>
      <c r="Q437" s="6"/>
      <c r="R437" s="6"/>
      <c r="S437" s="6"/>
    </row>
    <row r="438" spans="1:19" ht="14.25" customHeight="1" x14ac:dyDescent="0.15">
      <c r="A438" s="128"/>
      <c r="B438" s="129"/>
      <c r="C438" s="129"/>
      <c r="D438" s="129"/>
      <c r="E438" s="129"/>
      <c r="F438" s="129"/>
      <c r="G438" s="129"/>
      <c r="H438" s="129"/>
      <c r="I438" s="129"/>
      <c r="J438" s="130"/>
      <c r="K438" s="128"/>
      <c r="L438" s="129"/>
      <c r="M438" s="129"/>
      <c r="N438" s="129"/>
      <c r="O438" s="130"/>
      <c r="P438" s="14"/>
      <c r="Q438" s="6"/>
      <c r="R438" s="6"/>
      <c r="S438" s="6"/>
    </row>
    <row r="439" spans="1:19" ht="14.25" customHeight="1" x14ac:dyDescent="0.15">
      <c r="A439" s="131" t="s">
        <v>101</v>
      </c>
      <c r="B439" s="132"/>
      <c r="C439" s="152"/>
      <c r="D439" s="152"/>
      <c r="E439" s="152"/>
      <c r="F439" s="152"/>
      <c r="G439" s="152"/>
      <c r="H439" s="152"/>
      <c r="I439" s="153">
        <v>987000</v>
      </c>
      <c r="J439" s="154"/>
      <c r="K439" s="155">
        <v>1313000</v>
      </c>
      <c r="L439" s="153"/>
      <c r="M439" s="153"/>
      <c r="N439" s="153"/>
      <c r="O439" s="154"/>
      <c r="P439" s="14"/>
      <c r="Q439" s="6"/>
      <c r="R439" s="6"/>
      <c r="S439" s="6"/>
    </row>
    <row r="440" spans="1:19" ht="28" customHeight="1" x14ac:dyDescent="0.15">
      <c r="A440" s="137" t="s">
        <v>264</v>
      </c>
      <c r="B440" s="138"/>
      <c r="C440" s="212">
        <v>2960</v>
      </c>
      <c r="D440" s="212"/>
      <c r="E440" s="213" t="s">
        <v>85</v>
      </c>
      <c r="F440" s="214"/>
      <c r="G440" s="215">
        <v>333.2</v>
      </c>
      <c r="H440" s="215"/>
      <c r="I440" s="216">
        <v>986272</v>
      </c>
      <c r="J440" s="217"/>
      <c r="K440" s="140"/>
      <c r="L440" s="141"/>
      <c r="M440" s="141"/>
      <c r="N440" s="141"/>
      <c r="O440" s="142"/>
      <c r="P440" s="14"/>
      <c r="Q440" s="6"/>
      <c r="R440" s="6"/>
      <c r="S440" s="6"/>
    </row>
    <row r="441" spans="1:19" ht="14.25" customHeight="1" x14ac:dyDescent="0.15">
      <c r="A441" s="128"/>
      <c r="B441" s="129"/>
      <c r="C441" s="129"/>
      <c r="D441" s="129"/>
      <c r="E441" s="129"/>
      <c r="F441" s="129"/>
      <c r="G441" s="129"/>
      <c r="H441" s="129"/>
      <c r="I441" s="129"/>
      <c r="J441" s="130"/>
      <c r="K441" s="128"/>
      <c r="L441" s="129"/>
      <c r="M441" s="129"/>
      <c r="N441" s="129"/>
      <c r="O441" s="130"/>
      <c r="P441" s="14"/>
      <c r="Q441" s="6"/>
      <c r="R441" s="6"/>
      <c r="S441" s="6"/>
    </row>
    <row r="442" spans="1:19" ht="14.25" customHeight="1" x14ac:dyDescent="0.15">
      <c r="A442" s="131" t="s">
        <v>104</v>
      </c>
      <c r="B442" s="132"/>
      <c r="C442" s="152"/>
      <c r="D442" s="152"/>
      <c r="E442" s="152"/>
      <c r="F442" s="152"/>
      <c r="G442" s="152"/>
      <c r="H442" s="152"/>
      <c r="I442" s="226" t="s">
        <v>114</v>
      </c>
      <c r="J442" s="133"/>
      <c r="K442" s="131" t="s">
        <v>115</v>
      </c>
      <c r="L442" s="132"/>
      <c r="M442" s="132"/>
      <c r="N442" s="132"/>
      <c r="O442" s="133"/>
      <c r="P442" s="14"/>
      <c r="Q442" s="6"/>
      <c r="R442" s="6"/>
      <c r="S442" s="6"/>
    </row>
    <row r="443" spans="1:19" ht="14.25" customHeight="1" x14ac:dyDescent="0.15">
      <c r="A443" s="227" t="s">
        <v>116</v>
      </c>
      <c r="B443" s="228"/>
      <c r="C443" s="228"/>
      <c r="D443" s="228"/>
      <c r="E443" s="228"/>
      <c r="F443" s="228"/>
      <c r="G443" s="228"/>
      <c r="H443" s="228"/>
      <c r="I443" s="228"/>
      <c r="J443" s="229"/>
      <c r="K443" s="149"/>
      <c r="L443" s="150"/>
      <c r="M443" s="150"/>
      <c r="N443" s="150"/>
      <c r="O443" s="151"/>
      <c r="P443" s="14"/>
      <c r="Q443" s="6"/>
      <c r="R443" s="6"/>
      <c r="S443" s="6"/>
    </row>
    <row r="444" spans="1:19" ht="14.25" customHeight="1" x14ac:dyDescent="0.15">
      <c r="A444" s="128"/>
      <c r="B444" s="129"/>
      <c r="C444" s="129"/>
      <c r="D444" s="129"/>
      <c r="E444" s="129"/>
      <c r="F444" s="129"/>
      <c r="G444" s="129"/>
      <c r="H444" s="129"/>
      <c r="I444" s="129"/>
      <c r="J444" s="130"/>
      <c r="K444" s="128"/>
      <c r="L444" s="129"/>
      <c r="M444" s="129"/>
      <c r="N444" s="129"/>
      <c r="O444" s="130"/>
      <c r="P444" s="14"/>
      <c r="Q444" s="6"/>
      <c r="R444" s="6"/>
      <c r="S444" s="6"/>
    </row>
    <row r="445" spans="1:19" ht="14.25" customHeight="1" x14ac:dyDescent="0.15">
      <c r="A445" s="131" t="s">
        <v>108</v>
      </c>
      <c r="B445" s="132"/>
      <c r="C445" s="152"/>
      <c r="D445" s="152"/>
      <c r="E445" s="152"/>
      <c r="F445" s="152"/>
      <c r="G445" s="152"/>
      <c r="H445" s="152"/>
      <c r="I445" s="153">
        <v>1271000</v>
      </c>
      <c r="J445" s="154"/>
      <c r="K445" s="155">
        <v>1691000</v>
      </c>
      <c r="L445" s="153"/>
      <c r="M445" s="153"/>
      <c r="N445" s="153"/>
      <c r="O445" s="154"/>
      <c r="P445" s="14"/>
      <c r="Q445" s="6"/>
      <c r="R445" s="6"/>
      <c r="S445" s="6"/>
    </row>
    <row r="446" spans="1:19" ht="28" customHeight="1" x14ac:dyDescent="0.15">
      <c r="A446" s="137" t="s">
        <v>265</v>
      </c>
      <c r="B446" s="138"/>
      <c r="C446" s="212">
        <v>7120</v>
      </c>
      <c r="D446" s="212"/>
      <c r="E446" s="213" t="s">
        <v>85</v>
      </c>
      <c r="F446" s="214"/>
      <c r="G446" s="215">
        <v>178.5</v>
      </c>
      <c r="H446" s="215"/>
      <c r="I446" s="216">
        <v>1270920</v>
      </c>
      <c r="J446" s="217"/>
      <c r="K446" s="140"/>
      <c r="L446" s="141"/>
      <c r="M446" s="141"/>
      <c r="N446" s="141"/>
      <c r="O446" s="142"/>
      <c r="P446" s="14"/>
      <c r="Q446" s="6"/>
      <c r="R446" s="6"/>
      <c r="S446" s="6"/>
    </row>
    <row r="447" spans="1:19" ht="14.25" customHeight="1" x14ac:dyDescent="0.15">
      <c r="A447" s="128"/>
      <c r="B447" s="129"/>
      <c r="C447" s="129"/>
      <c r="D447" s="129"/>
      <c r="E447" s="129"/>
      <c r="F447" s="129"/>
      <c r="G447" s="129"/>
      <c r="H447" s="129"/>
      <c r="I447" s="129"/>
      <c r="J447" s="130"/>
      <c r="K447" s="128"/>
      <c r="L447" s="129"/>
      <c r="M447" s="129"/>
      <c r="N447" s="129"/>
      <c r="O447" s="130"/>
      <c r="P447" s="14"/>
      <c r="Q447" s="6"/>
      <c r="R447" s="6"/>
      <c r="S447" s="6"/>
    </row>
    <row r="448" spans="1:19" ht="15" customHeight="1" x14ac:dyDescent="0.15">
      <c r="A448" s="131" t="s">
        <v>113</v>
      </c>
      <c r="B448" s="132"/>
      <c r="C448" s="152"/>
      <c r="D448" s="152"/>
      <c r="E448" s="152"/>
      <c r="F448" s="152"/>
      <c r="G448" s="152"/>
      <c r="H448" s="152"/>
      <c r="I448" s="153">
        <v>51905000</v>
      </c>
      <c r="J448" s="154"/>
      <c r="K448" s="155">
        <v>69034000</v>
      </c>
      <c r="L448" s="153"/>
      <c r="M448" s="153"/>
      <c r="N448" s="153"/>
      <c r="O448" s="154"/>
      <c r="P448" s="14"/>
      <c r="Q448" s="6"/>
      <c r="R448" s="6"/>
      <c r="S448" s="6"/>
    </row>
    <row r="449" spans="1:19" ht="55.75" customHeight="1" x14ac:dyDescent="0.15">
      <c r="A449" s="218" t="s">
        <v>266</v>
      </c>
      <c r="B449" s="207"/>
      <c r="C449" s="219" t="s">
        <v>267</v>
      </c>
      <c r="D449" s="207"/>
      <c r="E449" s="220" t="s">
        <v>268</v>
      </c>
      <c r="F449" s="221"/>
      <c r="G449" s="222" t="s">
        <v>269</v>
      </c>
      <c r="H449" s="207"/>
      <c r="I449" s="222" t="s">
        <v>270</v>
      </c>
      <c r="J449" s="208"/>
      <c r="K449" s="223" t="s">
        <v>271</v>
      </c>
      <c r="L449" s="224"/>
      <c r="M449" s="224"/>
      <c r="N449" s="224"/>
      <c r="O449" s="225"/>
      <c r="P449" s="14"/>
      <c r="Q449" s="6"/>
      <c r="R449" s="6"/>
      <c r="S449" s="6"/>
    </row>
    <row r="450" spans="1:19" ht="15" customHeight="1" x14ac:dyDescent="0.15">
      <c r="A450" s="170" t="s">
        <v>272</v>
      </c>
      <c r="B450" s="171"/>
      <c r="C450" s="178">
        <v>5839</v>
      </c>
      <c r="D450" s="178"/>
      <c r="E450" s="173" t="s">
        <v>85</v>
      </c>
      <c r="F450" s="174"/>
      <c r="G450" s="175">
        <v>1150</v>
      </c>
      <c r="H450" s="175"/>
      <c r="I450" s="176">
        <v>6714505</v>
      </c>
      <c r="J450" s="177"/>
      <c r="K450" s="209"/>
      <c r="L450" s="210"/>
      <c r="M450" s="210"/>
      <c r="N450" s="210"/>
      <c r="O450" s="211"/>
      <c r="P450" s="14"/>
      <c r="Q450" s="6"/>
      <c r="R450" s="6"/>
      <c r="S450" s="6"/>
    </row>
    <row r="451" spans="1:19" ht="16" customHeight="1" x14ac:dyDescent="0.15">
      <c r="A451" s="170" t="s">
        <v>86</v>
      </c>
      <c r="B451" s="171"/>
      <c r="C451" s="178">
        <v>5839</v>
      </c>
      <c r="D451" s="178"/>
      <c r="E451" s="173" t="s">
        <v>85</v>
      </c>
      <c r="F451" s="174"/>
      <c r="G451" s="179">
        <v>49.98</v>
      </c>
      <c r="H451" s="179"/>
      <c r="I451" s="176">
        <v>291818</v>
      </c>
      <c r="J451" s="177"/>
      <c r="K451" s="209"/>
      <c r="L451" s="210"/>
      <c r="M451" s="210"/>
      <c r="N451" s="210"/>
      <c r="O451" s="211"/>
      <c r="P451" s="14"/>
      <c r="Q451" s="6"/>
      <c r="R451" s="6"/>
      <c r="S451" s="6"/>
    </row>
    <row r="452" spans="1:19" ht="20.25" customHeight="1" x14ac:dyDescent="0.15">
      <c r="A452" s="170" t="s">
        <v>273</v>
      </c>
      <c r="B452" s="171"/>
      <c r="C452" s="172">
        <v>1</v>
      </c>
      <c r="D452" s="172"/>
      <c r="E452" s="173" t="s">
        <v>124</v>
      </c>
      <c r="F452" s="174"/>
      <c r="G452" s="175">
        <v>6500000</v>
      </c>
      <c r="H452" s="175"/>
      <c r="I452" s="176">
        <v>6500000</v>
      </c>
      <c r="J452" s="177"/>
      <c r="K452" s="209"/>
      <c r="L452" s="210"/>
      <c r="M452" s="210"/>
      <c r="N452" s="210"/>
      <c r="O452" s="211"/>
      <c r="P452" s="14"/>
      <c r="Q452" s="6"/>
      <c r="R452" s="6"/>
      <c r="S452" s="6"/>
    </row>
    <row r="453" spans="1:19" ht="14.25" customHeight="1" x14ac:dyDescent="0.15">
      <c r="A453" s="183" t="s">
        <v>274</v>
      </c>
      <c r="B453" s="184"/>
      <c r="C453" s="185">
        <v>13500</v>
      </c>
      <c r="D453" s="185"/>
      <c r="E453" s="186" t="s">
        <v>85</v>
      </c>
      <c r="F453" s="187"/>
      <c r="G453" s="188">
        <v>54</v>
      </c>
      <c r="H453" s="188"/>
      <c r="I453" s="189">
        <v>729000</v>
      </c>
      <c r="J453" s="190"/>
      <c r="K453" s="127"/>
      <c r="L453" s="125"/>
      <c r="M453" s="125"/>
      <c r="N453" s="125"/>
      <c r="O453" s="126"/>
      <c r="P453" s="14"/>
      <c r="Q453" s="6"/>
      <c r="R453" s="6"/>
      <c r="S453" s="6"/>
    </row>
    <row r="454" spans="1:19" ht="14.25" customHeight="1" x14ac:dyDescent="0.15">
      <c r="A454" s="128"/>
      <c r="B454" s="129"/>
      <c r="C454" s="129"/>
      <c r="D454" s="129"/>
      <c r="E454" s="129"/>
      <c r="F454" s="129"/>
      <c r="G454" s="129"/>
      <c r="H454" s="129"/>
      <c r="I454" s="129"/>
      <c r="J454" s="130"/>
      <c r="K454" s="128"/>
      <c r="L454" s="129"/>
      <c r="M454" s="129"/>
      <c r="N454" s="129"/>
      <c r="O454" s="130"/>
      <c r="P454" s="14"/>
      <c r="Q454" s="6"/>
      <c r="R454" s="6"/>
      <c r="S454" s="6"/>
    </row>
    <row r="455" spans="1:19" ht="14.25" customHeight="1" x14ac:dyDescent="0.15">
      <c r="A455" s="131" t="s">
        <v>117</v>
      </c>
      <c r="B455" s="132"/>
      <c r="C455" s="152"/>
      <c r="D455" s="152"/>
      <c r="E455" s="152"/>
      <c r="F455" s="152"/>
      <c r="G455" s="152"/>
      <c r="H455" s="152"/>
      <c r="I455" s="153">
        <v>3559000</v>
      </c>
      <c r="J455" s="154"/>
      <c r="K455" s="155">
        <v>4734000</v>
      </c>
      <c r="L455" s="153"/>
      <c r="M455" s="153"/>
      <c r="N455" s="153"/>
      <c r="O455" s="154"/>
      <c r="P455" s="14"/>
      <c r="Q455" s="6"/>
      <c r="R455" s="6"/>
      <c r="S455" s="6"/>
    </row>
    <row r="456" spans="1:19" ht="15" customHeight="1" x14ac:dyDescent="0.15">
      <c r="A456" s="156" t="s">
        <v>275</v>
      </c>
      <c r="B456" s="157"/>
      <c r="C456" s="203">
        <v>154500</v>
      </c>
      <c r="D456" s="203"/>
      <c r="E456" s="159" t="s">
        <v>85</v>
      </c>
      <c r="F456" s="160"/>
      <c r="G456" s="204">
        <v>11.9</v>
      </c>
      <c r="H456" s="204"/>
      <c r="I456" s="162">
        <v>1839000</v>
      </c>
      <c r="J456" s="163"/>
      <c r="K456" s="206"/>
      <c r="L456" s="207"/>
      <c r="M456" s="207"/>
      <c r="N456" s="207"/>
      <c r="O456" s="208"/>
      <c r="P456" s="14"/>
      <c r="Q456" s="6"/>
      <c r="R456" s="6"/>
      <c r="S456" s="6"/>
    </row>
    <row r="457" spans="1:19" ht="14.25" customHeight="1" x14ac:dyDescent="0.15">
      <c r="A457" s="170" t="s">
        <v>183</v>
      </c>
      <c r="B457" s="171"/>
      <c r="C457" s="178">
        <v>20000</v>
      </c>
      <c r="D457" s="178"/>
      <c r="E457" s="173" t="s">
        <v>85</v>
      </c>
      <c r="F457" s="174"/>
      <c r="G457" s="179">
        <v>33.32</v>
      </c>
      <c r="H457" s="179"/>
      <c r="I457" s="176">
        <v>667000</v>
      </c>
      <c r="J457" s="177"/>
      <c r="K457" s="209"/>
      <c r="L457" s="210"/>
      <c r="M457" s="210"/>
      <c r="N457" s="210"/>
      <c r="O457" s="211"/>
      <c r="P457" s="14"/>
      <c r="Q457" s="6"/>
      <c r="R457" s="6"/>
      <c r="S457" s="6"/>
    </row>
    <row r="458" spans="1:19" ht="14.25" customHeight="1" x14ac:dyDescent="0.15">
      <c r="A458" s="170" t="s">
        <v>120</v>
      </c>
      <c r="B458" s="171"/>
      <c r="C458" s="178">
        <v>1500</v>
      </c>
      <c r="D458" s="178"/>
      <c r="E458" s="173" t="s">
        <v>85</v>
      </c>
      <c r="F458" s="174"/>
      <c r="G458" s="179">
        <v>23.8</v>
      </c>
      <c r="H458" s="179"/>
      <c r="I458" s="176">
        <v>36000</v>
      </c>
      <c r="J458" s="177"/>
      <c r="K458" s="209"/>
      <c r="L458" s="210"/>
      <c r="M458" s="210"/>
      <c r="N458" s="210"/>
      <c r="O458" s="211"/>
      <c r="P458" s="14"/>
      <c r="Q458" s="6"/>
      <c r="R458" s="6"/>
      <c r="S458" s="6"/>
    </row>
    <row r="459" spans="1:19" ht="14.25" customHeight="1" x14ac:dyDescent="0.15">
      <c r="A459" s="170" t="s">
        <v>123</v>
      </c>
      <c r="B459" s="171"/>
      <c r="C459" s="172">
        <v>1</v>
      </c>
      <c r="D459" s="172"/>
      <c r="E459" s="173" t="s">
        <v>124</v>
      </c>
      <c r="F459" s="174"/>
      <c r="G459" s="175">
        <v>500000</v>
      </c>
      <c r="H459" s="175"/>
      <c r="I459" s="176">
        <v>500000</v>
      </c>
      <c r="J459" s="177"/>
      <c r="K459" s="209"/>
      <c r="L459" s="210"/>
      <c r="M459" s="210"/>
      <c r="N459" s="210"/>
      <c r="O459" s="211"/>
      <c r="P459" s="14"/>
      <c r="Q459" s="6"/>
      <c r="R459" s="6"/>
      <c r="S459" s="6"/>
    </row>
    <row r="460" spans="1:19" ht="14.25" customHeight="1" x14ac:dyDescent="0.15">
      <c r="A460" s="170" t="s">
        <v>126</v>
      </c>
      <c r="B460" s="171"/>
      <c r="C460" s="172">
        <v>195</v>
      </c>
      <c r="D460" s="172"/>
      <c r="E460" s="173" t="s">
        <v>122</v>
      </c>
      <c r="F460" s="174"/>
      <c r="G460" s="179">
        <v>351.05</v>
      </c>
      <c r="H460" s="179"/>
      <c r="I460" s="176">
        <v>69000</v>
      </c>
      <c r="J460" s="177"/>
      <c r="K460" s="209"/>
      <c r="L460" s="210"/>
      <c r="M460" s="210"/>
      <c r="N460" s="210"/>
      <c r="O460" s="211"/>
      <c r="P460" s="14"/>
      <c r="Q460" s="6"/>
      <c r="R460" s="6"/>
      <c r="S460" s="6"/>
    </row>
    <row r="461" spans="1:19" ht="14.25" customHeight="1" x14ac:dyDescent="0.15">
      <c r="A461" s="170" t="s">
        <v>127</v>
      </c>
      <c r="B461" s="171"/>
      <c r="C461" s="172">
        <v>3</v>
      </c>
      <c r="D461" s="172"/>
      <c r="E461" s="173" t="s">
        <v>83</v>
      </c>
      <c r="F461" s="174"/>
      <c r="G461" s="175">
        <v>56525</v>
      </c>
      <c r="H461" s="175"/>
      <c r="I461" s="176">
        <v>170000</v>
      </c>
      <c r="J461" s="177"/>
      <c r="K461" s="209"/>
      <c r="L461" s="210"/>
      <c r="M461" s="210"/>
      <c r="N461" s="210"/>
      <c r="O461" s="211"/>
      <c r="P461" s="14"/>
      <c r="Q461" s="6"/>
      <c r="R461" s="6"/>
      <c r="S461" s="6"/>
    </row>
    <row r="462" spans="1:19" ht="14.25" customHeight="1" x14ac:dyDescent="0.15">
      <c r="A462" s="170" t="s">
        <v>128</v>
      </c>
      <c r="B462" s="171"/>
      <c r="C462" s="172">
        <v>1</v>
      </c>
      <c r="D462" s="172"/>
      <c r="E462" s="173" t="s">
        <v>124</v>
      </c>
      <c r="F462" s="174"/>
      <c r="G462" s="175">
        <v>119000</v>
      </c>
      <c r="H462" s="175"/>
      <c r="I462" s="176">
        <v>119000</v>
      </c>
      <c r="J462" s="177"/>
      <c r="K462" s="209"/>
      <c r="L462" s="210"/>
      <c r="M462" s="210"/>
      <c r="N462" s="210"/>
      <c r="O462" s="211"/>
      <c r="P462" s="14"/>
      <c r="Q462" s="6"/>
      <c r="R462" s="6"/>
      <c r="S462" s="6"/>
    </row>
    <row r="463" spans="1:19" ht="14.25" customHeight="1" x14ac:dyDescent="0.15">
      <c r="A463" s="170" t="s">
        <v>129</v>
      </c>
      <c r="B463" s="171"/>
      <c r="C463" s="172">
        <v>70</v>
      </c>
      <c r="D463" s="172"/>
      <c r="E463" s="173" t="s">
        <v>83</v>
      </c>
      <c r="F463" s="174"/>
      <c r="G463" s="179">
        <v>892.5</v>
      </c>
      <c r="H463" s="179"/>
      <c r="I463" s="176">
        <v>63000</v>
      </c>
      <c r="J463" s="177"/>
      <c r="K463" s="209"/>
      <c r="L463" s="210"/>
      <c r="M463" s="210"/>
      <c r="N463" s="210"/>
      <c r="O463" s="211"/>
      <c r="P463" s="14"/>
      <c r="Q463" s="6"/>
      <c r="R463" s="6"/>
      <c r="S463" s="6"/>
    </row>
    <row r="464" spans="1:19" ht="14.25" customHeight="1" x14ac:dyDescent="0.15">
      <c r="A464" s="183" t="s">
        <v>130</v>
      </c>
      <c r="B464" s="184"/>
      <c r="C464" s="201">
        <v>1</v>
      </c>
      <c r="D464" s="201"/>
      <c r="E464" s="186" t="s">
        <v>124</v>
      </c>
      <c r="F464" s="187"/>
      <c r="G464" s="202">
        <v>95200</v>
      </c>
      <c r="H464" s="202"/>
      <c r="I464" s="189">
        <v>96000</v>
      </c>
      <c r="J464" s="190"/>
      <c r="K464" s="127"/>
      <c r="L464" s="125"/>
      <c r="M464" s="125"/>
      <c r="N464" s="125"/>
      <c r="O464" s="126"/>
      <c r="P464" s="14"/>
      <c r="Q464" s="6"/>
      <c r="R464" s="6"/>
      <c r="S464" s="6"/>
    </row>
    <row r="465" spans="1:19" ht="14.25" customHeight="1" x14ac:dyDescent="0.15">
      <c r="A465" s="128"/>
      <c r="B465" s="129"/>
      <c r="C465" s="129"/>
      <c r="D465" s="129"/>
      <c r="E465" s="129"/>
      <c r="F465" s="129"/>
      <c r="G465" s="129"/>
      <c r="H465" s="129"/>
      <c r="I465" s="129"/>
      <c r="J465" s="130"/>
      <c r="K465" s="128"/>
      <c r="L465" s="129"/>
      <c r="M465" s="129"/>
      <c r="N465" s="129"/>
      <c r="O465" s="130"/>
      <c r="P465" s="14"/>
      <c r="Q465" s="6"/>
      <c r="R465" s="6"/>
      <c r="S465" s="6"/>
    </row>
    <row r="466" spans="1:19" ht="14.25" customHeight="1" x14ac:dyDescent="0.15">
      <c r="A466" s="131" t="s">
        <v>134</v>
      </c>
      <c r="B466" s="132"/>
      <c r="C466" s="152"/>
      <c r="D466" s="152"/>
      <c r="E466" s="152"/>
      <c r="F466" s="152"/>
      <c r="G466" s="152"/>
      <c r="H466" s="152"/>
      <c r="I466" s="153">
        <v>1487000</v>
      </c>
      <c r="J466" s="154"/>
      <c r="K466" s="155">
        <v>1978000</v>
      </c>
      <c r="L466" s="153"/>
      <c r="M466" s="153"/>
      <c r="N466" s="153"/>
      <c r="O466" s="154"/>
      <c r="P466" s="14"/>
      <c r="Q466" s="6"/>
      <c r="R466" s="6"/>
      <c r="S466" s="6"/>
    </row>
    <row r="467" spans="1:19" ht="14.25" customHeight="1" x14ac:dyDescent="0.15">
      <c r="A467" s="156" t="s">
        <v>276</v>
      </c>
      <c r="B467" s="157"/>
      <c r="C467" s="203">
        <v>30000</v>
      </c>
      <c r="D467" s="203"/>
      <c r="E467" s="159" t="s">
        <v>85</v>
      </c>
      <c r="F467" s="160"/>
      <c r="G467" s="204">
        <v>44.63</v>
      </c>
      <c r="H467" s="204"/>
      <c r="I467" s="162">
        <v>1339000</v>
      </c>
      <c r="J467" s="163"/>
      <c r="K467" s="156" t="s">
        <v>277</v>
      </c>
      <c r="L467" s="157"/>
      <c r="M467" s="157"/>
      <c r="N467" s="157"/>
      <c r="O467" s="205"/>
      <c r="P467" s="14"/>
      <c r="Q467" s="6"/>
      <c r="R467" s="6"/>
      <c r="S467" s="6"/>
    </row>
    <row r="468" spans="1:19" ht="14.25" customHeight="1" x14ac:dyDescent="0.15">
      <c r="A468" s="183" t="s">
        <v>137</v>
      </c>
      <c r="B468" s="184"/>
      <c r="C468" s="185">
        <v>4500</v>
      </c>
      <c r="D468" s="185"/>
      <c r="E468" s="186" t="s">
        <v>85</v>
      </c>
      <c r="F468" s="187"/>
      <c r="G468" s="188">
        <v>32.729999999999997</v>
      </c>
      <c r="H468" s="188"/>
      <c r="I468" s="189">
        <v>148000</v>
      </c>
      <c r="J468" s="190"/>
      <c r="K468" s="183" t="s">
        <v>277</v>
      </c>
      <c r="L468" s="184"/>
      <c r="M468" s="184"/>
      <c r="N468" s="184"/>
      <c r="O468" s="197"/>
      <c r="P468" s="14"/>
      <c r="Q468" s="6"/>
      <c r="R468" s="6"/>
      <c r="S468" s="6"/>
    </row>
    <row r="469" spans="1:19" ht="14.25" customHeight="1" x14ac:dyDescent="0.15">
      <c r="A469" s="128"/>
      <c r="B469" s="129"/>
      <c r="C469" s="129"/>
      <c r="D469" s="129"/>
      <c r="E469" s="129"/>
      <c r="F469" s="129"/>
      <c r="G469" s="129"/>
      <c r="H469" s="129"/>
      <c r="I469" s="129"/>
      <c r="J469" s="130"/>
      <c r="K469" s="128"/>
      <c r="L469" s="129"/>
      <c r="M469" s="129"/>
      <c r="N469" s="129"/>
      <c r="O469" s="130"/>
      <c r="P469" s="14"/>
      <c r="Q469" s="6"/>
      <c r="R469" s="6"/>
      <c r="S469" s="6"/>
    </row>
    <row r="470" spans="1:19" ht="14.25" customHeight="1" x14ac:dyDescent="0.15">
      <c r="A470" s="131" t="s">
        <v>139</v>
      </c>
      <c r="B470" s="132"/>
      <c r="C470" s="152"/>
      <c r="D470" s="152"/>
      <c r="E470" s="152"/>
      <c r="F470" s="152"/>
      <c r="G470" s="152"/>
      <c r="H470" s="152"/>
      <c r="I470" s="153">
        <v>16110000</v>
      </c>
      <c r="J470" s="154"/>
      <c r="K470" s="155">
        <v>21427000</v>
      </c>
      <c r="L470" s="153"/>
      <c r="M470" s="153"/>
      <c r="N470" s="153"/>
      <c r="O470" s="154"/>
      <c r="P470" s="14"/>
      <c r="Q470" s="6"/>
      <c r="R470" s="6"/>
      <c r="S470" s="6"/>
    </row>
    <row r="471" spans="1:19" ht="14.25" customHeight="1" x14ac:dyDescent="0.15">
      <c r="A471" s="156" t="s">
        <v>278</v>
      </c>
      <c r="B471" s="157"/>
      <c r="C471" s="198"/>
      <c r="D471" s="198"/>
      <c r="E471" s="198"/>
      <c r="F471" s="198"/>
      <c r="G471" s="198"/>
      <c r="H471" s="198"/>
      <c r="I471" s="198"/>
      <c r="J471" s="199"/>
      <c r="K471" s="200"/>
      <c r="L471" s="198"/>
      <c r="M471" s="198"/>
      <c r="N471" s="198"/>
      <c r="O471" s="199"/>
      <c r="P471" s="14"/>
      <c r="Q471" s="6"/>
      <c r="R471" s="6"/>
      <c r="S471" s="6"/>
    </row>
    <row r="472" spans="1:19" ht="14.25" customHeight="1" x14ac:dyDescent="0.15">
      <c r="A472" s="194" t="s">
        <v>190</v>
      </c>
      <c r="B472" s="171"/>
      <c r="C472" s="181"/>
      <c r="D472" s="181"/>
      <c r="E472" s="173" t="s">
        <v>85</v>
      </c>
      <c r="F472" s="174"/>
      <c r="G472" s="179">
        <v>220.15</v>
      </c>
      <c r="H472" s="179"/>
      <c r="I472" s="196" t="s">
        <v>141</v>
      </c>
      <c r="J472" s="195"/>
      <c r="K472" s="180"/>
      <c r="L472" s="181"/>
      <c r="M472" s="181"/>
      <c r="N472" s="181"/>
      <c r="O472" s="182"/>
      <c r="P472" s="14"/>
      <c r="Q472" s="6"/>
      <c r="R472" s="6"/>
      <c r="S472" s="6"/>
    </row>
    <row r="473" spans="1:19" ht="14.25" customHeight="1" x14ac:dyDescent="0.15">
      <c r="A473" s="194" t="s">
        <v>193</v>
      </c>
      <c r="B473" s="171"/>
      <c r="C473" s="178">
        <v>23000</v>
      </c>
      <c r="D473" s="178"/>
      <c r="E473" s="173" t="s">
        <v>85</v>
      </c>
      <c r="F473" s="174"/>
      <c r="G473" s="179">
        <v>14.88</v>
      </c>
      <c r="H473" s="179"/>
      <c r="I473" s="176">
        <v>343000</v>
      </c>
      <c r="J473" s="177"/>
      <c r="K473" s="180"/>
      <c r="L473" s="181"/>
      <c r="M473" s="181"/>
      <c r="N473" s="181"/>
      <c r="O473" s="182"/>
      <c r="P473" s="14"/>
      <c r="Q473" s="6"/>
      <c r="R473" s="6"/>
      <c r="S473" s="6"/>
    </row>
    <row r="474" spans="1:19" ht="14.25" customHeight="1" x14ac:dyDescent="0.15">
      <c r="A474" s="194" t="s">
        <v>194</v>
      </c>
      <c r="B474" s="171"/>
      <c r="C474" s="178">
        <v>95000</v>
      </c>
      <c r="D474" s="178"/>
      <c r="E474" s="173" t="s">
        <v>85</v>
      </c>
      <c r="F474" s="174"/>
      <c r="G474" s="179">
        <v>4.17</v>
      </c>
      <c r="H474" s="179"/>
      <c r="I474" s="176">
        <v>396000</v>
      </c>
      <c r="J474" s="177"/>
      <c r="K474" s="180"/>
      <c r="L474" s="181"/>
      <c r="M474" s="181"/>
      <c r="N474" s="181"/>
      <c r="O474" s="182"/>
      <c r="P474" s="14"/>
      <c r="Q474" s="6"/>
      <c r="R474" s="6"/>
      <c r="S474" s="6"/>
    </row>
    <row r="475" spans="1:19" ht="14.25" customHeight="1" x14ac:dyDescent="0.15">
      <c r="A475" s="170" t="s">
        <v>279</v>
      </c>
      <c r="B475" s="171"/>
      <c r="C475" s="181"/>
      <c r="D475" s="181"/>
      <c r="E475" s="181"/>
      <c r="F475" s="181"/>
      <c r="G475" s="181"/>
      <c r="H475" s="181"/>
      <c r="I475" s="181"/>
      <c r="J475" s="182"/>
      <c r="K475" s="180"/>
      <c r="L475" s="181"/>
      <c r="M475" s="181"/>
      <c r="N475" s="181"/>
      <c r="O475" s="182"/>
      <c r="P475" s="14"/>
      <c r="Q475" s="6"/>
      <c r="R475" s="6"/>
      <c r="S475" s="6"/>
    </row>
    <row r="476" spans="1:19" ht="14.25" customHeight="1" x14ac:dyDescent="0.15">
      <c r="A476" s="194" t="s">
        <v>280</v>
      </c>
      <c r="B476" s="171"/>
      <c r="C476" s="178">
        <v>114000</v>
      </c>
      <c r="D476" s="178"/>
      <c r="E476" s="173" t="s">
        <v>85</v>
      </c>
      <c r="F476" s="174"/>
      <c r="G476" s="179">
        <v>6.55</v>
      </c>
      <c r="H476" s="179"/>
      <c r="I476" s="176">
        <v>746130</v>
      </c>
      <c r="J476" s="177"/>
      <c r="K476" s="180"/>
      <c r="L476" s="181"/>
      <c r="M476" s="181"/>
      <c r="N476" s="181"/>
      <c r="O476" s="182"/>
      <c r="P476" s="14"/>
      <c r="Q476" s="6"/>
      <c r="R476" s="6"/>
      <c r="S476" s="6"/>
    </row>
    <row r="477" spans="1:19" ht="14.25" customHeight="1" x14ac:dyDescent="0.15">
      <c r="A477" s="194" t="s">
        <v>281</v>
      </c>
      <c r="B477" s="171"/>
      <c r="C477" s="172">
        <v>2</v>
      </c>
      <c r="D477" s="172"/>
      <c r="E477" s="173" t="s">
        <v>83</v>
      </c>
      <c r="F477" s="174"/>
      <c r="G477" s="175">
        <v>35700</v>
      </c>
      <c r="H477" s="175"/>
      <c r="I477" s="176">
        <v>71400</v>
      </c>
      <c r="J477" s="177"/>
      <c r="K477" s="180"/>
      <c r="L477" s="181"/>
      <c r="M477" s="181"/>
      <c r="N477" s="181"/>
      <c r="O477" s="182"/>
      <c r="P477" s="14"/>
      <c r="Q477" s="6"/>
      <c r="R477" s="6"/>
      <c r="S477" s="6"/>
    </row>
    <row r="478" spans="1:19" ht="15" customHeight="1" x14ac:dyDescent="0.15">
      <c r="A478" s="194" t="s">
        <v>282</v>
      </c>
      <c r="B478" s="171"/>
      <c r="C478" s="172">
        <v>2</v>
      </c>
      <c r="D478" s="172"/>
      <c r="E478" s="173" t="s">
        <v>83</v>
      </c>
      <c r="F478" s="174"/>
      <c r="G478" s="175">
        <v>178500</v>
      </c>
      <c r="H478" s="175"/>
      <c r="I478" s="176">
        <v>357000</v>
      </c>
      <c r="J478" s="177"/>
      <c r="K478" s="180"/>
      <c r="L478" s="181"/>
      <c r="M478" s="181"/>
      <c r="N478" s="181"/>
      <c r="O478" s="182"/>
      <c r="P478" s="14"/>
      <c r="Q478" s="6"/>
      <c r="R478" s="6"/>
      <c r="S478" s="6"/>
    </row>
    <row r="479" spans="1:19" ht="14.25" customHeight="1" x14ac:dyDescent="0.15">
      <c r="A479" s="194" t="s">
        <v>283</v>
      </c>
      <c r="B479" s="171"/>
      <c r="C479" s="172">
        <v>8</v>
      </c>
      <c r="D479" s="172"/>
      <c r="E479" s="173" t="s">
        <v>83</v>
      </c>
      <c r="F479" s="174"/>
      <c r="G479" s="175">
        <v>178500</v>
      </c>
      <c r="H479" s="175"/>
      <c r="I479" s="176">
        <v>1428000</v>
      </c>
      <c r="J479" s="177"/>
      <c r="K479" s="180"/>
      <c r="L479" s="181"/>
      <c r="M479" s="181"/>
      <c r="N479" s="181"/>
      <c r="O479" s="182"/>
      <c r="P479" s="14"/>
      <c r="Q479" s="6"/>
      <c r="R479" s="6"/>
      <c r="S479" s="6"/>
    </row>
    <row r="480" spans="1:19" ht="14.25" customHeight="1" x14ac:dyDescent="0.15">
      <c r="A480" s="170" t="s">
        <v>284</v>
      </c>
      <c r="B480" s="171"/>
      <c r="C480" s="181"/>
      <c r="D480" s="181"/>
      <c r="E480" s="181"/>
      <c r="F480" s="181"/>
      <c r="G480" s="181"/>
      <c r="H480" s="181"/>
      <c r="I480" s="181"/>
      <c r="J480" s="182"/>
      <c r="K480" s="180"/>
      <c r="L480" s="181"/>
      <c r="M480" s="181"/>
      <c r="N480" s="181"/>
      <c r="O480" s="182"/>
      <c r="P480" s="14"/>
      <c r="Q480" s="6"/>
      <c r="R480" s="6"/>
      <c r="S480" s="6"/>
    </row>
    <row r="481" spans="1:19" ht="14.25" customHeight="1" x14ac:dyDescent="0.15">
      <c r="A481" s="194" t="s">
        <v>285</v>
      </c>
      <c r="B481" s="171"/>
      <c r="C481" s="178">
        <v>87000</v>
      </c>
      <c r="D481" s="178"/>
      <c r="E481" s="173" t="s">
        <v>85</v>
      </c>
      <c r="F481" s="174"/>
      <c r="G481" s="179">
        <v>18.45</v>
      </c>
      <c r="H481" s="179"/>
      <c r="I481" s="176">
        <v>1604715</v>
      </c>
      <c r="J481" s="177"/>
      <c r="K481" s="170" t="s">
        <v>286</v>
      </c>
      <c r="L481" s="171"/>
      <c r="M481" s="171"/>
      <c r="N481" s="171"/>
      <c r="O481" s="195"/>
      <c r="P481" s="14"/>
      <c r="Q481" s="6"/>
      <c r="R481" s="6"/>
      <c r="S481" s="6"/>
    </row>
    <row r="482" spans="1:19" ht="14.25" customHeight="1" x14ac:dyDescent="0.15">
      <c r="A482" s="194" t="s">
        <v>287</v>
      </c>
      <c r="B482" s="171"/>
      <c r="C482" s="178">
        <v>58000</v>
      </c>
      <c r="D482" s="178"/>
      <c r="E482" s="173" t="s">
        <v>85</v>
      </c>
      <c r="F482" s="174"/>
      <c r="G482" s="179">
        <v>21.42</v>
      </c>
      <c r="H482" s="179"/>
      <c r="I482" s="176">
        <v>1242360</v>
      </c>
      <c r="J482" s="177"/>
      <c r="K482" s="170" t="s">
        <v>286</v>
      </c>
      <c r="L482" s="171"/>
      <c r="M482" s="171"/>
      <c r="N482" s="171"/>
      <c r="O482" s="195"/>
      <c r="P482" s="14"/>
      <c r="Q482" s="6"/>
      <c r="R482" s="6"/>
      <c r="S482" s="6"/>
    </row>
    <row r="483" spans="1:19" ht="14.25" customHeight="1" x14ac:dyDescent="0.15">
      <c r="A483" s="194" t="s">
        <v>288</v>
      </c>
      <c r="B483" s="171"/>
      <c r="C483" s="172">
        <v>1</v>
      </c>
      <c r="D483" s="172"/>
      <c r="E483" s="173" t="s">
        <v>83</v>
      </c>
      <c r="F483" s="174"/>
      <c r="G483" s="175">
        <v>148750</v>
      </c>
      <c r="H483" s="175"/>
      <c r="I483" s="176">
        <v>148750</v>
      </c>
      <c r="J483" s="177"/>
      <c r="K483" s="180"/>
      <c r="L483" s="181"/>
      <c r="M483" s="181"/>
      <c r="N483" s="181"/>
      <c r="O483" s="182"/>
      <c r="P483" s="14"/>
      <c r="Q483" s="6"/>
      <c r="R483" s="6"/>
      <c r="S483" s="6"/>
    </row>
    <row r="484" spans="1:19" ht="14.25" customHeight="1" x14ac:dyDescent="0.15">
      <c r="A484" s="194" t="s">
        <v>283</v>
      </c>
      <c r="B484" s="171"/>
      <c r="C484" s="172">
        <v>6</v>
      </c>
      <c r="D484" s="172"/>
      <c r="E484" s="173" t="s">
        <v>83</v>
      </c>
      <c r="F484" s="174"/>
      <c r="G484" s="175">
        <v>178500</v>
      </c>
      <c r="H484" s="175"/>
      <c r="I484" s="176">
        <v>1071000</v>
      </c>
      <c r="J484" s="177"/>
      <c r="K484" s="180"/>
      <c r="L484" s="181"/>
      <c r="M484" s="181"/>
      <c r="N484" s="181"/>
      <c r="O484" s="182"/>
      <c r="P484" s="14"/>
      <c r="Q484" s="6"/>
      <c r="R484" s="6"/>
      <c r="S484" s="6"/>
    </row>
    <row r="485" spans="1:19" ht="14.25" customHeight="1" x14ac:dyDescent="0.15">
      <c r="A485" s="194" t="s">
        <v>289</v>
      </c>
      <c r="B485" s="171"/>
      <c r="C485" s="178">
        <v>2500</v>
      </c>
      <c r="D485" s="178"/>
      <c r="E485" s="173" t="s">
        <v>290</v>
      </c>
      <c r="F485" s="174"/>
      <c r="G485" s="179">
        <v>892.5</v>
      </c>
      <c r="H485" s="179"/>
      <c r="I485" s="176">
        <v>2231250</v>
      </c>
      <c r="J485" s="177"/>
      <c r="K485" s="180"/>
      <c r="L485" s="181"/>
      <c r="M485" s="181"/>
      <c r="N485" s="181"/>
      <c r="O485" s="182"/>
      <c r="P485" s="14"/>
      <c r="Q485" s="6"/>
      <c r="R485" s="6"/>
      <c r="S485" s="6"/>
    </row>
    <row r="486" spans="1:19" ht="14.25" customHeight="1" x14ac:dyDescent="0.15">
      <c r="A486" s="194" t="s">
        <v>291</v>
      </c>
      <c r="B486" s="171"/>
      <c r="C486" s="172">
        <v>750</v>
      </c>
      <c r="D486" s="172"/>
      <c r="E486" s="173" t="s">
        <v>85</v>
      </c>
      <c r="F486" s="174"/>
      <c r="G486" s="179">
        <v>618.79999999999995</v>
      </c>
      <c r="H486" s="179"/>
      <c r="I486" s="176">
        <v>464100</v>
      </c>
      <c r="J486" s="177"/>
      <c r="K486" s="180"/>
      <c r="L486" s="181"/>
      <c r="M486" s="181"/>
      <c r="N486" s="181"/>
      <c r="O486" s="182"/>
      <c r="P486" s="14"/>
      <c r="Q486" s="6"/>
      <c r="R486" s="6"/>
      <c r="S486" s="6"/>
    </row>
    <row r="487" spans="1:19" ht="14.25" customHeight="1" x14ac:dyDescent="0.15">
      <c r="A487" s="194" t="s">
        <v>292</v>
      </c>
      <c r="B487" s="171"/>
      <c r="C487" s="172">
        <v>1</v>
      </c>
      <c r="D487" s="172"/>
      <c r="E487" s="173" t="s">
        <v>83</v>
      </c>
      <c r="F487" s="174"/>
      <c r="G487" s="175">
        <v>166600</v>
      </c>
      <c r="H487" s="175"/>
      <c r="I487" s="176">
        <v>166600</v>
      </c>
      <c r="J487" s="177"/>
      <c r="K487" s="180"/>
      <c r="L487" s="181"/>
      <c r="M487" s="181"/>
      <c r="N487" s="181"/>
      <c r="O487" s="182"/>
      <c r="P487" s="14"/>
      <c r="Q487" s="6"/>
      <c r="R487" s="6"/>
      <c r="S487" s="6"/>
    </row>
    <row r="488" spans="1:19" ht="21" customHeight="1" x14ac:dyDescent="0.15">
      <c r="A488" s="170" t="s">
        <v>293</v>
      </c>
      <c r="B488" s="171"/>
      <c r="C488" s="172">
        <v>1</v>
      </c>
      <c r="D488" s="172"/>
      <c r="E488" s="173" t="s">
        <v>83</v>
      </c>
      <c r="F488" s="174"/>
      <c r="G488" s="175">
        <v>404600</v>
      </c>
      <c r="H488" s="175"/>
      <c r="I488" s="168"/>
      <c r="J488" s="169"/>
      <c r="K488" s="167"/>
      <c r="L488" s="168"/>
      <c r="M488" s="168"/>
      <c r="N488" s="168"/>
      <c r="O488" s="169"/>
      <c r="P488" s="14"/>
      <c r="Q488" s="6"/>
      <c r="R488" s="6"/>
      <c r="S488" s="6"/>
    </row>
    <row r="489" spans="1:19" ht="21" customHeight="1" x14ac:dyDescent="0.15">
      <c r="A489" s="170" t="s">
        <v>294</v>
      </c>
      <c r="B489" s="171"/>
      <c r="C489" s="172">
        <v>5</v>
      </c>
      <c r="D489" s="172"/>
      <c r="E489" s="173" t="s">
        <v>83</v>
      </c>
      <c r="F489" s="174"/>
      <c r="G489" s="175">
        <v>141610</v>
      </c>
      <c r="H489" s="175"/>
      <c r="I489" s="176">
        <v>708050</v>
      </c>
      <c r="J489" s="177"/>
      <c r="K489" s="167"/>
      <c r="L489" s="168"/>
      <c r="M489" s="168"/>
      <c r="N489" s="168"/>
      <c r="O489" s="169"/>
      <c r="P489" s="14"/>
      <c r="Q489" s="6"/>
      <c r="R489" s="6"/>
      <c r="S489" s="6"/>
    </row>
    <row r="490" spans="1:19" ht="16" customHeight="1" x14ac:dyDescent="0.15">
      <c r="A490" s="170" t="s">
        <v>295</v>
      </c>
      <c r="B490" s="171"/>
      <c r="C490" s="178">
        <v>1200</v>
      </c>
      <c r="D490" s="178"/>
      <c r="E490" s="173" t="s">
        <v>85</v>
      </c>
      <c r="F490" s="174"/>
      <c r="G490" s="179">
        <v>270.73</v>
      </c>
      <c r="H490" s="179"/>
      <c r="I490" s="176">
        <v>324870</v>
      </c>
      <c r="J490" s="177"/>
      <c r="K490" s="180"/>
      <c r="L490" s="181"/>
      <c r="M490" s="181"/>
      <c r="N490" s="181"/>
      <c r="O490" s="182"/>
      <c r="P490" s="14"/>
      <c r="Q490" s="6"/>
      <c r="R490" s="6"/>
      <c r="S490" s="6"/>
    </row>
    <row r="491" spans="1:19" ht="27" customHeight="1" x14ac:dyDescent="0.15">
      <c r="A491" s="170" t="s">
        <v>296</v>
      </c>
      <c r="B491" s="171"/>
      <c r="C491" s="178">
        <v>4200</v>
      </c>
      <c r="D491" s="178"/>
      <c r="E491" s="173" t="s">
        <v>85</v>
      </c>
      <c r="F491" s="174"/>
      <c r="G491" s="175">
        <v>1071</v>
      </c>
      <c r="H491" s="175"/>
      <c r="I491" s="176">
        <v>4498200</v>
      </c>
      <c r="J491" s="177"/>
      <c r="K491" s="167"/>
      <c r="L491" s="168"/>
      <c r="M491" s="168"/>
      <c r="N491" s="168"/>
      <c r="O491" s="169"/>
      <c r="P491" s="14"/>
      <c r="Q491" s="6"/>
      <c r="R491" s="6"/>
      <c r="S491" s="6"/>
    </row>
    <row r="492" spans="1:19" ht="14.25" customHeight="1" x14ac:dyDescent="0.15">
      <c r="A492" s="183" t="s">
        <v>297</v>
      </c>
      <c r="B492" s="184"/>
      <c r="C492" s="185">
        <v>2880</v>
      </c>
      <c r="D492" s="185"/>
      <c r="E492" s="186" t="s">
        <v>85</v>
      </c>
      <c r="F492" s="187"/>
      <c r="G492" s="188">
        <v>107.1</v>
      </c>
      <c r="H492" s="188"/>
      <c r="I492" s="189">
        <v>308448</v>
      </c>
      <c r="J492" s="190"/>
      <c r="K492" s="191"/>
      <c r="L492" s="192"/>
      <c r="M492" s="192"/>
      <c r="N492" s="192"/>
      <c r="O492" s="193"/>
      <c r="P492" s="14"/>
      <c r="Q492" s="6"/>
      <c r="R492" s="6"/>
      <c r="S492" s="6"/>
    </row>
    <row r="493" spans="1:19" ht="14.25" customHeight="1" x14ac:dyDescent="0.15">
      <c r="A493" s="128"/>
      <c r="B493" s="129"/>
      <c r="C493" s="129"/>
      <c r="D493" s="129"/>
      <c r="E493" s="129"/>
      <c r="F493" s="129"/>
      <c r="G493" s="129"/>
      <c r="H493" s="129"/>
      <c r="I493" s="129"/>
      <c r="J493" s="130"/>
      <c r="K493" s="128"/>
      <c r="L493" s="129"/>
      <c r="M493" s="129"/>
      <c r="N493" s="129"/>
      <c r="O493" s="130"/>
      <c r="P493" s="14"/>
      <c r="Q493" s="6"/>
      <c r="R493" s="6"/>
      <c r="S493" s="6"/>
    </row>
    <row r="494" spans="1:19" ht="15" customHeight="1" x14ac:dyDescent="0.15">
      <c r="A494" s="131" t="s">
        <v>143</v>
      </c>
      <c r="B494" s="132"/>
      <c r="C494" s="152"/>
      <c r="D494" s="152"/>
      <c r="E494" s="152"/>
      <c r="F494" s="152"/>
      <c r="G494" s="152"/>
      <c r="H494" s="152"/>
      <c r="I494" s="153">
        <v>2346000</v>
      </c>
      <c r="J494" s="154"/>
      <c r="K494" s="155">
        <v>2346000</v>
      </c>
      <c r="L494" s="153"/>
      <c r="M494" s="153"/>
      <c r="N494" s="153"/>
      <c r="O494" s="154"/>
      <c r="P494" s="14"/>
      <c r="Q494" s="6"/>
      <c r="R494" s="6"/>
      <c r="S494" s="6"/>
    </row>
    <row r="495" spans="1:19" ht="14.25" customHeight="1" x14ac:dyDescent="0.15">
      <c r="A495" s="156" t="s">
        <v>195</v>
      </c>
      <c r="B495" s="157"/>
      <c r="C495" s="158">
        <v>52</v>
      </c>
      <c r="D495" s="158"/>
      <c r="E495" s="159" t="s">
        <v>83</v>
      </c>
      <c r="F495" s="160"/>
      <c r="G495" s="161">
        <v>41650</v>
      </c>
      <c r="H495" s="161"/>
      <c r="I495" s="162">
        <v>2166000</v>
      </c>
      <c r="J495" s="163"/>
      <c r="K495" s="164"/>
      <c r="L495" s="165"/>
      <c r="M495" s="165"/>
      <c r="N495" s="165"/>
      <c r="O495" s="166"/>
      <c r="P495" s="14"/>
      <c r="Q495" s="6"/>
      <c r="R495" s="6"/>
      <c r="S495" s="6"/>
    </row>
    <row r="496" spans="1:19" ht="13.75" customHeight="1" x14ac:dyDescent="0.15">
      <c r="A496" s="170" t="s">
        <v>196</v>
      </c>
      <c r="B496" s="171"/>
      <c r="C496" s="172">
        <v>1</v>
      </c>
      <c r="D496" s="172"/>
      <c r="E496" s="173" t="s">
        <v>83</v>
      </c>
      <c r="F496" s="174"/>
      <c r="G496" s="175">
        <v>60000</v>
      </c>
      <c r="H496" s="175"/>
      <c r="I496" s="176">
        <v>60000</v>
      </c>
      <c r="J496" s="177"/>
      <c r="K496" s="167"/>
      <c r="L496" s="168"/>
      <c r="M496" s="168"/>
      <c r="N496" s="168"/>
      <c r="O496" s="169"/>
      <c r="P496" s="14"/>
      <c r="Q496" s="6"/>
      <c r="R496" s="6"/>
      <c r="S496" s="6"/>
    </row>
    <row r="497" spans="1:19" ht="56.25" customHeight="1" x14ac:dyDescent="0.15">
      <c r="A497" s="124" t="s">
        <v>298</v>
      </c>
      <c r="B497" s="125"/>
      <c r="C497" s="125"/>
      <c r="D497" s="125"/>
      <c r="E497" s="125"/>
      <c r="F497" s="125"/>
      <c r="G497" s="125"/>
      <c r="H497" s="125"/>
      <c r="I497" s="125"/>
      <c r="J497" s="126"/>
      <c r="K497" s="127"/>
      <c r="L497" s="125"/>
      <c r="M497" s="125"/>
      <c r="N497" s="125"/>
      <c r="O497" s="126"/>
      <c r="P497" s="14"/>
      <c r="Q497" s="6"/>
      <c r="R497" s="6"/>
      <c r="S497" s="6"/>
    </row>
    <row r="498" spans="1:19" ht="14.25" customHeight="1" x14ac:dyDescent="0.15">
      <c r="A498" s="128"/>
      <c r="B498" s="129"/>
      <c r="C498" s="129"/>
      <c r="D498" s="129"/>
      <c r="E498" s="129"/>
      <c r="F498" s="129"/>
      <c r="G498" s="129"/>
      <c r="H498" s="129"/>
      <c r="I498" s="129"/>
      <c r="J498" s="130"/>
      <c r="K498" s="128"/>
      <c r="L498" s="129"/>
      <c r="M498" s="129"/>
      <c r="N498" s="129"/>
      <c r="O498" s="130"/>
      <c r="P498" s="14"/>
      <c r="Q498" s="6"/>
      <c r="R498" s="6"/>
      <c r="S498" s="6"/>
    </row>
    <row r="499" spans="1:19" ht="14.25" customHeight="1" x14ac:dyDescent="0.15">
      <c r="A499" s="131" t="s">
        <v>299</v>
      </c>
      <c r="B499" s="132"/>
      <c r="C499" s="132"/>
      <c r="D499" s="132"/>
      <c r="E499" s="132"/>
      <c r="F499" s="132"/>
      <c r="G499" s="132"/>
      <c r="H499" s="132"/>
      <c r="I499" s="132"/>
      <c r="J499" s="133"/>
      <c r="K499" s="134">
        <v>1125000</v>
      </c>
      <c r="L499" s="135"/>
      <c r="M499" s="135"/>
      <c r="N499" s="135"/>
      <c r="O499" s="136"/>
      <c r="P499" s="14"/>
      <c r="Q499" s="6"/>
      <c r="R499" s="6"/>
      <c r="S499" s="6"/>
    </row>
    <row r="500" spans="1:19" ht="38.25" customHeight="1" x14ac:dyDescent="0.15">
      <c r="A500" s="137" t="s">
        <v>300</v>
      </c>
      <c r="B500" s="138"/>
      <c r="C500" s="138"/>
      <c r="D500" s="138"/>
      <c r="E500" s="138"/>
      <c r="F500" s="138"/>
      <c r="G500" s="138"/>
      <c r="H500" s="138"/>
      <c r="I500" s="138"/>
      <c r="J500" s="139"/>
      <c r="K500" s="140"/>
      <c r="L500" s="141"/>
      <c r="M500" s="141"/>
      <c r="N500" s="141"/>
      <c r="O500" s="142"/>
      <c r="P500" s="14"/>
      <c r="Q500" s="6"/>
      <c r="R500" s="6"/>
      <c r="S500" s="6"/>
    </row>
    <row r="501" spans="1:19" ht="14.25" customHeight="1" x14ac:dyDescent="0.15">
      <c r="A501" s="128"/>
      <c r="B501" s="129"/>
      <c r="C501" s="129"/>
      <c r="D501" s="129"/>
      <c r="E501" s="129"/>
      <c r="F501" s="129"/>
      <c r="G501" s="129"/>
      <c r="H501" s="129"/>
      <c r="I501" s="129"/>
      <c r="J501" s="130"/>
      <c r="K501" s="128"/>
      <c r="L501" s="129"/>
      <c r="M501" s="129"/>
      <c r="N501" s="129"/>
      <c r="O501" s="130"/>
      <c r="P501" s="14"/>
      <c r="Q501" s="6"/>
      <c r="R501" s="6"/>
      <c r="S501" s="6"/>
    </row>
    <row r="502" spans="1:19" ht="14.25" customHeight="1" x14ac:dyDescent="0.15">
      <c r="A502" s="143" t="s">
        <v>301</v>
      </c>
      <c r="B502" s="144"/>
      <c r="C502" s="144"/>
      <c r="D502" s="144"/>
      <c r="E502" s="144"/>
      <c r="F502" s="144"/>
      <c r="G502" s="144"/>
      <c r="H502" s="144"/>
      <c r="I502" s="144"/>
      <c r="J502" s="145"/>
      <c r="K502" s="146">
        <v>171492000</v>
      </c>
      <c r="L502" s="147"/>
      <c r="M502" s="147"/>
      <c r="N502" s="147"/>
      <c r="O502" s="148"/>
      <c r="P502" s="14"/>
      <c r="Q502" s="6"/>
      <c r="R502" s="6"/>
      <c r="S502" s="6"/>
    </row>
    <row r="503" spans="1:19" ht="13.75" customHeight="1" x14ac:dyDescent="0.15">
      <c r="A503" s="149"/>
      <c r="B503" s="150"/>
      <c r="C503" s="150"/>
      <c r="D503" s="150"/>
      <c r="E503" s="150"/>
      <c r="F503" s="150"/>
      <c r="G503" s="150"/>
      <c r="H503" s="150"/>
      <c r="I503" s="150"/>
      <c r="J503" s="151"/>
      <c r="K503" s="149"/>
      <c r="L503" s="150"/>
      <c r="M503" s="150"/>
      <c r="N503" s="150"/>
      <c r="O503" s="151"/>
      <c r="P503" s="14"/>
      <c r="Q503" s="6"/>
      <c r="R503" s="6"/>
      <c r="S503" s="6"/>
    </row>
  </sheetData>
  <mergeCells count="2214">
    <mergeCell ref="A1:N1"/>
    <mergeCell ref="O1:R1"/>
    <mergeCell ref="A2:R2"/>
    <mergeCell ref="A3:R3"/>
    <mergeCell ref="A4:N4"/>
    <mergeCell ref="O4:R4"/>
    <mergeCell ref="A5:R5"/>
    <mergeCell ref="A6:N6"/>
    <mergeCell ref="O6:R6"/>
    <mergeCell ref="A8:P8"/>
    <mergeCell ref="A9:L9"/>
    <mergeCell ref="M9:P9"/>
    <mergeCell ref="A10:L10"/>
    <mergeCell ref="M10:P10"/>
    <mergeCell ref="A11:L11"/>
    <mergeCell ref="M11:P11"/>
    <mergeCell ref="A12:P12"/>
    <mergeCell ref="A13:L13"/>
    <mergeCell ref="M13:P13"/>
    <mergeCell ref="A14:P14"/>
    <mergeCell ref="A15:P15"/>
    <mergeCell ref="A16:P16"/>
    <mergeCell ref="A17:L17"/>
    <mergeCell ref="M17:P17"/>
    <mergeCell ref="A18:P18"/>
    <mergeCell ref="A19:P19"/>
    <mergeCell ref="A20:L20"/>
    <mergeCell ref="M20:P20"/>
    <mergeCell ref="A21:P21"/>
    <mergeCell ref="A22:P22"/>
    <mergeCell ref="A23:P23"/>
    <mergeCell ref="A24:P24"/>
    <mergeCell ref="A25:R25"/>
    <mergeCell ref="A26:N26"/>
    <mergeCell ref="O26:R26"/>
    <mergeCell ref="A27:C27"/>
    <mergeCell ref="D27:G27"/>
    <mergeCell ref="H27:I27"/>
    <mergeCell ref="J27:K27"/>
    <mergeCell ref="L27:N27"/>
    <mergeCell ref="O27:R27"/>
    <mergeCell ref="A28:C28"/>
    <mergeCell ref="D28:K28"/>
    <mergeCell ref="L28:N28"/>
    <mergeCell ref="O28:R28"/>
    <mergeCell ref="A29:C29"/>
    <mergeCell ref="D29:K29"/>
    <mergeCell ref="L29:N29"/>
    <mergeCell ref="O29:R29"/>
    <mergeCell ref="A30:C30"/>
    <mergeCell ref="D30:G30"/>
    <mergeCell ref="H30:I30"/>
    <mergeCell ref="J30:K30"/>
    <mergeCell ref="L30:N30"/>
    <mergeCell ref="O30:R30"/>
    <mergeCell ref="A31:C31"/>
    <mergeCell ref="D31:G31"/>
    <mergeCell ref="H31:I31"/>
    <mergeCell ref="J31:K31"/>
    <mergeCell ref="L31:N31"/>
    <mergeCell ref="O31:R31"/>
    <mergeCell ref="A32:C32"/>
    <mergeCell ref="D32:G32"/>
    <mergeCell ref="H32:I32"/>
    <mergeCell ref="J32:K32"/>
    <mergeCell ref="L32:N32"/>
    <mergeCell ref="O32:R32"/>
    <mergeCell ref="A33:C33"/>
    <mergeCell ref="D33:G33"/>
    <mergeCell ref="H33:I33"/>
    <mergeCell ref="J33:K33"/>
    <mergeCell ref="L33:N33"/>
    <mergeCell ref="O33:R33"/>
    <mergeCell ref="A34:C34"/>
    <mergeCell ref="D34:G34"/>
    <mergeCell ref="H34:I34"/>
    <mergeCell ref="J34:K34"/>
    <mergeCell ref="L34:N34"/>
    <mergeCell ref="O34:R34"/>
    <mergeCell ref="A35:C35"/>
    <mergeCell ref="D35:G35"/>
    <mergeCell ref="H35:I35"/>
    <mergeCell ref="J35:K35"/>
    <mergeCell ref="L35:N35"/>
    <mergeCell ref="O35:R35"/>
    <mergeCell ref="A36:S36"/>
    <mergeCell ref="A37:M37"/>
    <mergeCell ref="N37:S37"/>
    <mergeCell ref="A38:E38"/>
    <mergeCell ref="F38:H38"/>
    <mergeCell ref="I38:J38"/>
    <mergeCell ref="K38:M38"/>
    <mergeCell ref="N38:S38"/>
    <mergeCell ref="A39:E39"/>
    <mergeCell ref="F39:M39"/>
    <mergeCell ref="N39:S39"/>
    <mergeCell ref="A40:E40"/>
    <mergeCell ref="F40:H40"/>
    <mergeCell ref="I40:J40"/>
    <mergeCell ref="K40:M40"/>
    <mergeCell ref="N40:S40"/>
    <mergeCell ref="A41:E41"/>
    <mergeCell ref="F41:H41"/>
    <mergeCell ref="I41:J41"/>
    <mergeCell ref="K41:M41"/>
    <mergeCell ref="N41:S41"/>
    <mergeCell ref="A42:E42"/>
    <mergeCell ref="F42:M42"/>
    <mergeCell ref="N42:S42"/>
    <mergeCell ref="A43:E43"/>
    <mergeCell ref="F43:H43"/>
    <mergeCell ref="I43:J43"/>
    <mergeCell ref="K43:M43"/>
    <mergeCell ref="N43:S43"/>
    <mergeCell ref="A44:E44"/>
    <mergeCell ref="F44:H44"/>
    <mergeCell ref="I44:J44"/>
    <mergeCell ref="K44:M44"/>
    <mergeCell ref="N44:S44"/>
    <mergeCell ref="A45:E45"/>
    <mergeCell ref="F45:H45"/>
    <mergeCell ref="I45:J45"/>
    <mergeCell ref="K45:M45"/>
    <mergeCell ref="N45:S45"/>
    <mergeCell ref="A46:E46"/>
    <mergeCell ref="F46:H46"/>
    <mergeCell ref="I46:J46"/>
    <mergeCell ref="K46:M46"/>
    <mergeCell ref="N46:S46"/>
    <mergeCell ref="A47:E47"/>
    <mergeCell ref="F47:H47"/>
    <mergeCell ref="I47:J47"/>
    <mergeCell ref="K47:M47"/>
    <mergeCell ref="N47:S47"/>
    <mergeCell ref="A48:E48"/>
    <mergeCell ref="F48:H48"/>
    <mergeCell ref="I48:J48"/>
    <mergeCell ref="K48:M48"/>
    <mergeCell ref="N48:S48"/>
    <mergeCell ref="A49:E49"/>
    <mergeCell ref="F49:H49"/>
    <mergeCell ref="I49:J49"/>
    <mergeCell ref="K49:M49"/>
    <mergeCell ref="N49:S49"/>
    <mergeCell ref="A50:E50"/>
    <mergeCell ref="F50:H50"/>
    <mergeCell ref="I50:J50"/>
    <mergeCell ref="K50:M50"/>
    <mergeCell ref="N50:S50"/>
    <mergeCell ref="A51:E51"/>
    <mergeCell ref="F51:H51"/>
    <mergeCell ref="I51:J51"/>
    <mergeCell ref="K51:M51"/>
    <mergeCell ref="N51:S51"/>
    <mergeCell ref="A52:E52"/>
    <mergeCell ref="F52:H52"/>
    <mergeCell ref="I52:J52"/>
    <mergeCell ref="K52:M52"/>
    <mergeCell ref="N52:S52"/>
    <mergeCell ref="A53:E53"/>
    <mergeCell ref="F53:H53"/>
    <mergeCell ref="I53:J53"/>
    <mergeCell ref="K53:M53"/>
    <mergeCell ref="N53:S53"/>
    <mergeCell ref="A54:E54"/>
    <mergeCell ref="F54:H54"/>
    <mergeCell ref="I54:J54"/>
    <mergeCell ref="K54:M54"/>
    <mergeCell ref="N54:S54"/>
    <mergeCell ref="A55:E55"/>
    <mergeCell ref="F55:H55"/>
    <mergeCell ref="I55:J55"/>
    <mergeCell ref="K55:M55"/>
    <mergeCell ref="N55:S55"/>
    <mergeCell ref="A56:E56"/>
    <mergeCell ref="F56:H56"/>
    <mergeCell ref="I56:J56"/>
    <mergeCell ref="K56:M56"/>
    <mergeCell ref="N56:S56"/>
    <mergeCell ref="A57:E57"/>
    <mergeCell ref="F57:H57"/>
    <mergeCell ref="I57:J57"/>
    <mergeCell ref="K57:M57"/>
    <mergeCell ref="N57:S57"/>
    <mergeCell ref="A58:E58"/>
    <mergeCell ref="F58:H58"/>
    <mergeCell ref="I58:J58"/>
    <mergeCell ref="K58:M58"/>
    <mergeCell ref="N58:S58"/>
    <mergeCell ref="A59:E59"/>
    <mergeCell ref="F59:H59"/>
    <mergeCell ref="I59:J59"/>
    <mergeCell ref="K59:M59"/>
    <mergeCell ref="N59:S59"/>
    <mergeCell ref="A60:E60"/>
    <mergeCell ref="F60:H60"/>
    <mergeCell ref="I60:J60"/>
    <mergeCell ref="K60:M60"/>
    <mergeCell ref="N60:S60"/>
    <mergeCell ref="A61:E61"/>
    <mergeCell ref="F61:H61"/>
    <mergeCell ref="I61:J61"/>
    <mergeCell ref="K61:M61"/>
    <mergeCell ref="N61:S61"/>
    <mergeCell ref="A62:E62"/>
    <mergeCell ref="F62:H62"/>
    <mergeCell ref="I62:J62"/>
    <mergeCell ref="K62:M62"/>
    <mergeCell ref="N62:S62"/>
    <mergeCell ref="A63:E63"/>
    <mergeCell ref="F63:H63"/>
    <mergeCell ref="I63:J63"/>
    <mergeCell ref="K63:M63"/>
    <mergeCell ref="N63:S63"/>
    <mergeCell ref="A64:E64"/>
    <mergeCell ref="F64:H64"/>
    <mergeCell ref="I64:J64"/>
    <mergeCell ref="K64:M64"/>
    <mergeCell ref="N64:S64"/>
    <mergeCell ref="A65:E65"/>
    <mergeCell ref="F65:H65"/>
    <mergeCell ref="I65:J65"/>
    <mergeCell ref="K65:M65"/>
    <mergeCell ref="N65:S65"/>
    <mergeCell ref="A66:E66"/>
    <mergeCell ref="F66:H66"/>
    <mergeCell ref="I66:J66"/>
    <mergeCell ref="K66:M66"/>
    <mergeCell ref="N66:S66"/>
    <mergeCell ref="A67:E67"/>
    <mergeCell ref="F67:H67"/>
    <mergeCell ref="I67:J67"/>
    <mergeCell ref="K67:M67"/>
    <mergeCell ref="N67:S67"/>
    <mergeCell ref="A68:E68"/>
    <mergeCell ref="F68:H68"/>
    <mergeCell ref="I68:J68"/>
    <mergeCell ref="K68:M68"/>
    <mergeCell ref="N68:S68"/>
    <mergeCell ref="A69:Q69"/>
    <mergeCell ref="A70:J70"/>
    <mergeCell ref="K70:Q70"/>
    <mergeCell ref="A71:E71"/>
    <mergeCell ref="F71:H71"/>
    <mergeCell ref="I71:J71"/>
    <mergeCell ref="K71:Q71"/>
    <mergeCell ref="A72:E72"/>
    <mergeCell ref="F72:H72"/>
    <mergeCell ref="I72:J72"/>
    <mergeCell ref="K72:Q72"/>
    <mergeCell ref="A73:E73"/>
    <mergeCell ref="F73:H73"/>
    <mergeCell ref="I73:J73"/>
    <mergeCell ref="K73:Q73"/>
    <mergeCell ref="A74:E74"/>
    <mergeCell ref="F74:H74"/>
    <mergeCell ref="I74:J74"/>
    <mergeCell ref="K74:Q74"/>
    <mergeCell ref="A75:E75"/>
    <mergeCell ref="F75:H75"/>
    <mergeCell ref="I75:J75"/>
    <mergeCell ref="K75:Q75"/>
    <mergeCell ref="A76:E76"/>
    <mergeCell ref="F76:H76"/>
    <mergeCell ref="I76:J76"/>
    <mergeCell ref="K76:Q76"/>
    <mergeCell ref="A77:E77"/>
    <mergeCell ref="F77:H77"/>
    <mergeCell ref="I77:J77"/>
    <mergeCell ref="K77:Q77"/>
    <mergeCell ref="A78:E78"/>
    <mergeCell ref="F78:H78"/>
    <mergeCell ref="I78:J78"/>
    <mergeCell ref="K78:Q78"/>
    <mergeCell ref="A79:E79"/>
    <mergeCell ref="F79:H79"/>
    <mergeCell ref="I79:J79"/>
    <mergeCell ref="K79:Q79"/>
    <mergeCell ref="A80:E80"/>
    <mergeCell ref="F80:H80"/>
    <mergeCell ref="I80:J80"/>
    <mergeCell ref="K80:Q80"/>
    <mergeCell ref="A81:E81"/>
    <mergeCell ref="F81:H81"/>
    <mergeCell ref="I81:J81"/>
    <mergeCell ref="K81:Q81"/>
    <mergeCell ref="A82:E82"/>
    <mergeCell ref="F82:H82"/>
    <mergeCell ref="I82:J82"/>
    <mergeCell ref="K82:Q82"/>
    <mergeCell ref="A83:E83"/>
    <mergeCell ref="F83:H83"/>
    <mergeCell ref="I83:J83"/>
    <mergeCell ref="K83:Q83"/>
    <mergeCell ref="A84:E84"/>
    <mergeCell ref="F84:H84"/>
    <mergeCell ref="I84:J84"/>
    <mergeCell ref="K84:Q84"/>
    <mergeCell ref="A85:E85"/>
    <mergeCell ref="F85:H85"/>
    <mergeCell ref="I85:J85"/>
    <mergeCell ref="K85:Q85"/>
    <mergeCell ref="A86:E86"/>
    <mergeCell ref="F86:H86"/>
    <mergeCell ref="I86:J86"/>
    <mergeCell ref="K86:Q86"/>
    <mergeCell ref="A87:E87"/>
    <mergeCell ref="F87:H87"/>
    <mergeCell ref="I87:J87"/>
    <mergeCell ref="K87:Q87"/>
    <mergeCell ref="A88:E88"/>
    <mergeCell ref="F88:H88"/>
    <mergeCell ref="I88:J88"/>
    <mergeCell ref="K88:Q88"/>
    <mergeCell ref="A89:E89"/>
    <mergeCell ref="F89:H89"/>
    <mergeCell ref="I89:J89"/>
    <mergeCell ref="K89:Q89"/>
    <mergeCell ref="A90:E90"/>
    <mergeCell ref="F90:H90"/>
    <mergeCell ref="I90:J90"/>
    <mergeCell ref="K90:Q90"/>
    <mergeCell ref="A91:E91"/>
    <mergeCell ref="F91:H91"/>
    <mergeCell ref="I91:J91"/>
    <mergeCell ref="K91:Q91"/>
    <mergeCell ref="A92:E92"/>
    <mergeCell ref="F92:H92"/>
    <mergeCell ref="I92:J92"/>
    <mergeCell ref="K92:Q92"/>
    <mergeCell ref="A93:E93"/>
    <mergeCell ref="F93:H93"/>
    <mergeCell ref="I93:J93"/>
    <mergeCell ref="K93:Q93"/>
    <mergeCell ref="A94:E94"/>
    <mergeCell ref="F94:H94"/>
    <mergeCell ref="I94:J94"/>
    <mergeCell ref="K94:Q94"/>
    <mergeCell ref="A95:E95"/>
    <mergeCell ref="F95:H95"/>
    <mergeCell ref="I95:J95"/>
    <mergeCell ref="K95:Q95"/>
    <mergeCell ref="A96:E96"/>
    <mergeCell ref="F96:H96"/>
    <mergeCell ref="I96:J96"/>
    <mergeCell ref="K96:Q96"/>
    <mergeCell ref="A97:E97"/>
    <mergeCell ref="F97:H97"/>
    <mergeCell ref="I97:J97"/>
    <mergeCell ref="K97:Q97"/>
    <mergeCell ref="A98:E98"/>
    <mergeCell ref="F98:H98"/>
    <mergeCell ref="I98:J98"/>
    <mergeCell ref="K98:Q98"/>
    <mergeCell ref="A99:E99"/>
    <mergeCell ref="F99:H99"/>
    <mergeCell ref="I99:J99"/>
    <mergeCell ref="K99:Q99"/>
    <mergeCell ref="A100:E100"/>
    <mergeCell ref="F100:H100"/>
    <mergeCell ref="I100:J100"/>
    <mergeCell ref="K100:Q100"/>
    <mergeCell ref="A101:E101"/>
    <mergeCell ref="F101:H101"/>
    <mergeCell ref="I101:J101"/>
    <mergeCell ref="K101:Q101"/>
    <mergeCell ref="A102:R102"/>
    <mergeCell ref="A103:O103"/>
    <mergeCell ref="P103:R103"/>
    <mergeCell ref="B104:D104"/>
    <mergeCell ref="E104:F104"/>
    <mergeCell ref="G104:H104"/>
    <mergeCell ref="I104:J104"/>
    <mergeCell ref="K104:O104"/>
    <mergeCell ref="P104:R104"/>
    <mergeCell ref="B105:D105"/>
    <mergeCell ref="E105:F105"/>
    <mergeCell ref="G105:H105"/>
    <mergeCell ref="I105:J105"/>
    <mergeCell ref="K105:O105"/>
    <mergeCell ref="P105:R105"/>
    <mergeCell ref="A106:J106"/>
    <mergeCell ref="K106:O106"/>
    <mergeCell ref="P106:R106"/>
    <mergeCell ref="B107:D107"/>
    <mergeCell ref="E107:F107"/>
    <mergeCell ref="G107:H107"/>
    <mergeCell ref="I107:J107"/>
    <mergeCell ref="K107:O107"/>
    <mergeCell ref="P107:R107"/>
    <mergeCell ref="A108:A114"/>
    <mergeCell ref="B108:D114"/>
    <mergeCell ref="E108:F114"/>
    <mergeCell ref="G108:H114"/>
    <mergeCell ref="I108:J114"/>
    <mergeCell ref="K108:O108"/>
    <mergeCell ref="P108:R108"/>
    <mergeCell ref="K109:O109"/>
    <mergeCell ref="P109:R109"/>
    <mergeCell ref="K110:O110"/>
    <mergeCell ref="P110:R110"/>
    <mergeCell ref="K111:O111"/>
    <mergeCell ref="P111:R111"/>
    <mergeCell ref="K112:O112"/>
    <mergeCell ref="P112:R112"/>
    <mergeCell ref="K113:O113"/>
    <mergeCell ref="P113:R113"/>
    <mergeCell ref="K114:O114"/>
    <mergeCell ref="P114:R114"/>
    <mergeCell ref="A115:J115"/>
    <mergeCell ref="K115:O115"/>
    <mergeCell ref="P115:R115"/>
    <mergeCell ref="B116:D116"/>
    <mergeCell ref="E116:F116"/>
    <mergeCell ref="G116:H116"/>
    <mergeCell ref="I116:J116"/>
    <mergeCell ref="K116:O116"/>
    <mergeCell ref="P116:R116"/>
    <mergeCell ref="B117:D117"/>
    <mergeCell ref="E117:F117"/>
    <mergeCell ref="G117:H117"/>
    <mergeCell ref="I117:J117"/>
    <mergeCell ref="K117:O117"/>
    <mergeCell ref="P117:R117"/>
    <mergeCell ref="A118:J118"/>
    <mergeCell ref="K118:O118"/>
    <mergeCell ref="P118:R118"/>
    <mergeCell ref="B119:D119"/>
    <mergeCell ref="E119:F119"/>
    <mergeCell ref="G119:H119"/>
    <mergeCell ref="I119:J119"/>
    <mergeCell ref="K119:O119"/>
    <mergeCell ref="P119:R119"/>
    <mergeCell ref="B120:D120"/>
    <mergeCell ref="E120:F120"/>
    <mergeCell ref="G120:H120"/>
    <mergeCell ref="I120:J120"/>
    <mergeCell ref="K120:O120"/>
    <mergeCell ref="P120:R120"/>
    <mergeCell ref="A121:B121"/>
    <mergeCell ref="C121:D121"/>
    <mergeCell ref="E121:F121"/>
    <mergeCell ref="G121:H121"/>
    <mergeCell ref="I121:J121"/>
    <mergeCell ref="K121:O121"/>
    <mergeCell ref="A122:B122"/>
    <mergeCell ref="C122:D122"/>
    <mergeCell ref="E122:F122"/>
    <mergeCell ref="G122:H122"/>
    <mergeCell ref="I122:J122"/>
    <mergeCell ref="K122:O122"/>
    <mergeCell ref="A123:B123"/>
    <mergeCell ref="C123:D123"/>
    <mergeCell ref="E123:F123"/>
    <mergeCell ref="G123:H123"/>
    <mergeCell ref="I123:J123"/>
    <mergeCell ref="K123:O123"/>
    <mergeCell ref="A124:B124"/>
    <mergeCell ref="C124:D124"/>
    <mergeCell ref="E124:F124"/>
    <mergeCell ref="G124:H124"/>
    <mergeCell ref="I124:J124"/>
    <mergeCell ref="K124:O124"/>
    <mergeCell ref="A125:B125"/>
    <mergeCell ref="C125:D125"/>
    <mergeCell ref="E125:F125"/>
    <mergeCell ref="G125:H125"/>
    <mergeCell ref="I125:J125"/>
    <mergeCell ref="K125:O125"/>
    <mergeCell ref="A126:B126"/>
    <mergeCell ref="C126:D126"/>
    <mergeCell ref="E126:F126"/>
    <mergeCell ref="G126:H126"/>
    <mergeCell ref="I126:J126"/>
    <mergeCell ref="K126:O126"/>
    <mergeCell ref="A127:J127"/>
    <mergeCell ref="K127:O127"/>
    <mergeCell ref="A128:B128"/>
    <mergeCell ref="C128:D128"/>
    <mergeCell ref="E128:F128"/>
    <mergeCell ref="G128:H128"/>
    <mergeCell ref="I128:J128"/>
    <mergeCell ref="K128:O128"/>
    <mergeCell ref="A129:B129"/>
    <mergeCell ref="C129:D129"/>
    <mergeCell ref="E129:F129"/>
    <mergeCell ref="G129:H129"/>
    <mergeCell ref="I129:J129"/>
    <mergeCell ref="K129:O129"/>
    <mergeCell ref="A130:J130"/>
    <mergeCell ref="K130:O130"/>
    <mergeCell ref="A131:B131"/>
    <mergeCell ref="C131:D131"/>
    <mergeCell ref="E131:F131"/>
    <mergeCell ref="G131:H131"/>
    <mergeCell ref="I131:J131"/>
    <mergeCell ref="K131:O131"/>
    <mergeCell ref="A132:B132"/>
    <mergeCell ref="C132:D132"/>
    <mergeCell ref="E132:F132"/>
    <mergeCell ref="G132:H132"/>
    <mergeCell ref="I132:J132"/>
    <mergeCell ref="K132:O132"/>
    <mergeCell ref="A133:B133"/>
    <mergeCell ref="C133:D133"/>
    <mergeCell ref="E133:F133"/>
    <mergeCell ref="G133:H133"/>
    <mergeCell ref="I133:J133"/>
    <mergeCell ref="K133:O133"/>
    <mergeCell ref="A134:B134"/>
    <mergeCell ref="C134:D134"/>
    <mergeCell ref="E134:F134"/>
    <mergeCell ref="G134:H134"/>
    <mergeCell ref="I134:J134"/>
    <mergeCell ref="K134:O134"/>
    <mergeCell ref="A135:B135"/>
    <mergeCell ref="C135:D135"/>
    <mergeCell ref="E135:F135"/>
    <mergeCell ref="G135:H135"/>
    <mergeCell ref="I135:J135"/>
    <mergeCell ref="K135:O135"/>
    <mergeCell ref="A136:B136"/>
    <mergeCell ref="C136:D136"/>
    <mergeCell ref="E136:F136"/>
    <mergeCell ref="G136:H136"/>
    <mergeCell ref="I136:J136"/>
    <mergeCell ref="K136:O136"/>
    <mergeCell ref="A137:B137"/>
    <mergeCell ref="C137:D137"/>
    <mergeCell ref="E137:F137"/>
    <mergeCell ref="G137:H137"/>
    <mergeCell ref="I137:J137"/>
    <mergeCell ref="K137:O137"/>
    <mergeCell ref="A138:B138"/>
    <mergeCell ref="C138:D138"/>
    <mergeCell ref="E138:F138"/>
    <mergeCell ref="G138:H138"/>
    <mergeCell ref="I138:J138"/>
    <mergeCell ref="K138:O138"/>
    <mergeCell ref="A139:B139"/>
    <mergeCell ref="C139:D139"/>
    <mergeCell ref="E139:F139"/>
    <mergeCell ref="G139:H139"/>
    <mergeCell ref="I139:J139"/>
    <mergeCell ref="K139:O139"/>
    <mergeCell ref="A140:J140"/>
    <mergeCell ref="K140:O140"/>
    <mergeCell ref="A141:B141"/>
    <mergeCell ref="C141:D141"/>
    <mergeCell ref="E141:F141"/>
    <mergeCell ref="G141:H141"/>
    <mergeCell ref="I141:J141"/>
    <mergeCell ref="K141:O141"/>
    <mergeCell ref="A142:B142"/>
    <mergeCell ref="C142:D142"/>
    <mergeCell ref="E142:F142"/>
    <mergeCell ref="G142:H142"/>
    <mergeCell ref="I142:J142"/>
    <mergeCell ref="K142:O142"/>
    <mergeCell ref="A143:B143"/>
    <mergeCell ref="C143:D143"/>
    <mergeCell ref="E143:F143"/>
    <mergeCell ref="G143:H143"/>
    <mergeCell ref="I143:J143"/>
    <mergeCell ref="K143:O143"/>
    <mergeCell ref="A144:J144"/>
    <mergeCell ref="K144:O144"/>
    <mergeCell ref="A145:B145"/>
    <mergeCell ref="C145:D145"/>
    <mergeCell ref="E145:F145"/>
    <mergeCell ref="G145:H145"/>
    <mergeCell ref="I145:J145"/>
    <mergeCell ref="K145:O145"/>
    <mergeCell ref="A146:B146"/>
    <mergeCell ref="C146:D146"/>
    <mergeCell ref="E146:F146"/>
    <mergeCell ref="G146:H146"/>
    <mergeCell ref="I146:J146"/>
    <mergeCell ref="K146:O146"/>
    <mergeCell ref="A147:B147"/>
    <mergeCell ref="C147:D147"/>
    <mergeCell ref="E147:F147"/>
    <mergeCell ref="G147:H147"/>
    <mergeCell ref="I147:J147"/>
    <mergeCell ref="K147:O147"/>
    <mergeCell ref="A148:B148"/>
    <mergeCell ref="C148:D148"/>
    <mergeCell ref="E148:F148"/>
    <mergeCell ref="G148:H148"/>
    <mergeCell ref="I148:J148"/>
    <mergeCell ref="K148:O148"/>
    <mergeCell ref="A149:B149"/>
    <mergeCell ref="C149:D149"/>
    <mergeCell ref="E149:F149"/>
    <mergeCell ref="G149:H149"/>
    <mergeCell ref="I149:J149"/>
    <mergeCell ref="K149:O149"/>
    <mergeCell ref="A150:B150"/>
    <mergeCell ref="C150:D150"/>
    <mergeCell ref="E150:F150"/>
    <mergeCell ref="G150:H150"/>
    <mergeCell ref="I150:J150"/>
    <mergeCell ref="K150:O150"/>
    <mergeCell ref="A151:B151"/>
    <mergeCell ref="C151:D151"/>
    <mergeCell ref="E151:F151"/>
    <mergeCell ref="G151:H151"/>
    <mergeCell ref="I151:J151"/>
    <mergeCell ref="K151:O151"/>
    <mergeCell ref="A152:J152"/>
    <mergeCell ref="K152:O152"/>
    <mergeCell ref="A153:B153"/>
    <mergeCell ref="C153:D153"/>
    <mergeCell ref="E153:F153"/>
    <mergeCell ref="G153:H153"/>
    <mergeCell ref="I153:J153"/>
    <mergeCell ref="K153:O153"/>
    <mergeCell ref="A154:B154"/>
    <mergeCell ref="C154:D154"/>
    <mergeCell ref="E154:F154"/>
    <mergeCell ref="G154:H154"/>
    <mergeCell ref="I154:J154"/>
    <mergeCell ref="K154:O154"/>
    <mergeCell ref="A155:J155"/>
    <mergeCell ref="K155:O155"/>
    <mergeCell ref="A156:B156"/>
    <mergeCell ref="C156:D156"/>
    <mergeCell ref="E156:F156"/>
    <mergeCell ref="G156:H156"/>
    <mergeCell ref="I156:J156"/>
    <mergeCell ref="K156:O156"/>
    <mergeCell ref="A157:J157"/>
    <mergeCell ref="K157:O157"/>
    <mergeCell ref="A158:J158"/>
    <mergeCell ref="K158:O158"/>
    <mergeCell ref="A159:B159"/>
    <mergeCell ref="C159:D159"/>
    <mergeCell ref="E159:F159"/>
    <mergeCell ref="G159:H159"/>
    <mergeCell ref="I159:J159"/>
    <mergeCell ref="K159:O159"/>
    <mergeCell ref="A160:B160"/>
    <mergeCell ref="C160:D160"/>
    <mergeCell ref="E160:F160"/>
    <mergeCell ref="G160:H160"/>
    <mergeCell ref="I160:J160"/>
    <mergeCell ref="K160:O165"/>
    <mergeCell ref="A161:B161"/>
    <mergeCell ref="C161:D161"/>
    <mergeCell ref="E161:F161"/>
    <mergeCell ref="G161:H161"/>
    <mergeCell ref="I161:J161"/>
    <mergeCell ref="A162:B162"/>
    <mergeCell ref="C162:D162"/>
    <mergeCell ref="E162:F162"/>
    <mergeCell ref="G162:H162"/>
    <mergeCell ref="I162:J162"/>
    <mergeCell ref="A163:B163"/>
    <mergeCell ref="C163:D163"/>
    <mergeCell ref="E163:F163"/>
    <mergeCell ref="G163:H163"/>
    <mergeCell ref="I163:J163"/>
    <mergeCell ref="A164:B164"/>
    <mergeCell ref="C164:D164"/>
    <mergeCell ref="E164:F164"/>
    <mergeCell ref="G164:H164"/>
    <mergeCell ref="I164:J164"/>
    <mergeCell ref="A165:B165"/>
    <mergeCell ref="C165:D165"/>
    <mergeCell ref="E165:F165"/>
    <mergeCell ref="G165:H165"/>
    <mergeCell ref="I165:J165"/>
    <mergeCell ref="A166:B166"/>
    <mergeCell ref="C166:D166"/>
    <mergeCell ref="E166:F166"/>
    <mergeCell ref="G166:H166"/>
    <mergeCell ref="I166:J166"/>
    <mergeCell ref="K166:O166"/>
    <mergeCell ref="A167:B167"/>
    <mergeCell ref="C167:D167"/>
    <mergeCell ref="E167:F167"/>
    <mergeCell ref="G167:H167"/>
    <mergeCell ref="I167:J167"/>
    <mergeCell ref="K167:O167"/>
    <mergeCell ref="A168:B168"/>
    <mergeCell ref="C168:D168"/>
    <mergeCell ref="E168:F168"/>
    <mergeCell ref="G168:H168"/>
    <mergeCell ref="I168:J168"/>
    <mergeCell ref="K168:O168"/>
    <mergeCell ref="A169:B169"/>
    <mergeCell ref="C169:D169"/>
    <mergeCell ref="E169:F169"/>
    <mergeCell ref="G169:H169"/>
    <mergeCell ref="I169:J169"/>
    <mergeCell ref="K169:O169"/>
    <mergeCell ref="A170:B170"/>
    <mergeCell ref="C170:D170"/>
    <mergeCell ref="E170:F170"/>
    <mergeCell ref="G170:H170"/>
    <mergeCell ref="I170:J170"/>
    <mergeCell ref="K170:O170"/>
    <mergeCell ref="A171:B171"/>
    <mergeCell ref="C171:D171"/>
    <mergeCell ref="E171:F171"/>
    <mergeCell ref="G171:H171"/>
    <mergeCell ref="I171:J171"/>
    <mergeCell ref="K171:O171"/>
    <mergeCell ref="A172:B172"/>
    <mergeCell ref="C172:D172"/>
    <mergeCell ref="E172:F172"/>
    <mergeCell ref="G172:H172"/>
    <mergeCell ref="I172:J172"/>
    <mergeCell ref="K172:O172"/>
    <mergeCell ref="A173:J173"/>
    <mergeCell ref="K173:O173"/>
    <mergeCell ref="A174:B174"/>
    <mergeCell ref="C174:D174"/>
    <mergeCell ref="E174:F174"/>
    <mergeCell ref="G174:H174"/>
    <mergeCell ref="I174:J174"/>
    <mergeCell ref="K174:O174"/>
    <mergeCell ref="C183:D183"/>
    <mergeCell ref="E183:F183"/>
    <mergeCell ref="G183:H183"/>
    <mergeCell ref="I183:J183"/>
    <mergeCell ref="K183:O183"/>
    <mergeCell ref="C184:D184"/>
    <mergeCell ref="E184:F184"/>
    <mergeCell ref="G184:H184"/>
    <mergeCell ref="I184:J184"/>
    <mergeCell ref="K184:O184"/>
    <mergeCell ref="C185:D185"/>
    <mergeCell ref="A175:B175"/>
    <mergeCell ref="C175:D175"/>
    <mergeCell ref="E175:F175"/>
    <mergeCell ref="G175:H175"/>
    <mergeCell ref="I175:J175"/>
    <mergeCell ref="K175:O175"/>
    <mergeCell ref="A176:B176"/>
    <mergeCell ref="C176:D176"/>
    <mergeCell ref="E176:F176"/>
    <mergeCell ref="G176:H176"/>
    <mergeCell ref="I176:J176"/>
    <mergeCell ref="K176:O176"/>
    <mergeCell ref="A177:J177"/>
    <mergeCell ref="K177:O177"/>
    <mergeCell ref="A178:B178"/>
    <mergeCell ref="C178:D178"/>
    <mergeCell ref="E178:F178"/>
    <mergeCell ref="G178:H178"/>
    <mergeCell ref="I178:J178"/>
    <mergeCell ref="K178:O178"/>
    <mergeCell ref="G179:H179"/>
    <mergeCell ref="I179:J179"/>
    <mergeCell ref="K179:O179"/>
    <mergeCell ref="C180:D180"/>
    <mergeCell ref="E180:F180"/>
    <mergeCell ref="G180:H180"/>
    <mergeCell ref="I180:J180"/>
    <mergeCell ref="K180:O180"/>
    <mergeCell ref="C181:D181"/>
    <mergeCell ref="E181:F181"/>
    <mergeCell ref="G181:H181"/>
    <mergeCell ref="I181:J181"/>
    <mergeCell ref="K181:O181"/>
    <mergeCell ref="C182:D182"/>
    <mergeCell ref="E182:F182"/>
    <mergeCell ref="G182:H182"/>
    <mergeCell ref="I182:J182"/>
    <mergeCell ref="K182:O182"/>
    <mergeCell ref="E185:F185"/>
    <mergeCell ref="G185:H185"/>
    <mergeCell ref="I185:J185"/>
    <mergeCell ref="K185:O185"/>
    <mergeCell ref="C186:D186"/>
    <mergeCell ref="E186:F186"/>
    <mergeCell ref="G186:H186"/>
    <mergeCell ref="I186:J186"/>
    <mergeCell ref="K186:O186"/>
    <mergeCell ref="C187:D187"/>
    <mergeCell ref="E187:F187"/>
    <mergeCell ref="G187:H187"/>
    <mergeCell ref="I187:J187"/>
    <mergeCell ref="K187:O187"/>
    <mergeCell ref="C188:D188"/>
    <mergeCell ref="E188:F188"/>
    <mergeCell ref="G188:H188"/>
    <mergeCell ref="I188:J188"/>
    <mergeCell ref="K188:O188"/>
    <mergeCell ref="C189:D189"/>
    <mergeCell ref="E189:F189"/>
    <mergeCell ref="G189:H189"/>
    <mergeCell ref="I189:J189"/>
    <mergeCell ref="K189:O189"/>
    <mergeCell ref="C190:D190"/>
    <mergeCell ref="E190:F190"/>
    <mergeCell ref="G190:H190"/>
    <mergeCell ref="I190:J190"/>
    <mergeCell ref="K190:O190"/>
    <mergeCell ref="C191:D191"/>
    <mergeCell ref="E191:F191"/>
    <mergeCell ref="G191:H191"/>
    <mergeCell ref="I191:J191"/>
    <mergeCell ref="K191:O191"/>
    <mergeCell ref="C192:D192"/>
    <mergeCell ref="E192:F192"/>
    <mergeCell ref="G192:H192"/>
    <mergeCell ref="I192:J192"/>
    <mergeCell ref="K192:O192"/>
    <mergeCell ref="C193:D193"/>
    <mergeCell ref="E193:F193"/>
    <mergeCell ref="G193:H193"/>
    <mergeCell ref="I193:J193"/>
    <mergeCell ref="K193:O193"/>
    <mergeCell ref="C194:D194"/>
    <mergeCell ref="E194:F194"/>
    <mergeCell ref="G194:H194"/>
    <mergeCell ref="I194:J194"/>
    <mergeCell ref="K194:O194"/>
    <mergeCell ref="C195:D195"/>
    <mergeCell ref="E195:F195"/>
    <mergeCell ref="G195:H195"/>
    <mergeCell ref="I195:J195"/>
    <mergeCell ref="K195:O195"/>
    <mergeCell ref="C196:D196"/>
    <mergeCell ref="E196:F196"/>
    <mergeCell ref="G196:H196"/>
    <mergeCell ref="I196:J196"/>
    <mergeCell ref="K196:O196"/>
    <mergeCell ref="C197:D197"/>
    <mergeCell ref="E197:F197"/>
    <mergeCell ref="G197:H197"/>
    <mergeCell ref="I197:J197"/>
    <mergeCell ref="K197:O197"/>
    <mergeCell ref="A198:J198"/>
    <mergeCell ref="K198:O198"/>
    <mergeCell ref="A199:B199"/>
    <mergeCell ref="C199:D199"/>
    <mergeCell ref="E199:F199"/>
    <mergeCell ref="G199:H199"/>
    <mergeCell ref="I199:J199"/>
    <mergeCell ref="K199:O199"/>
    <mergeCell ref="A200:B200"/>
    <mergeCell ref="C200:D200"/>
    <mergeCell ref="E200:F200"/>
    <mergeCell ref="G200:H200"/>
    <mergeCell ref="I200:J200"/>
    <mergeCell ref="K200:O202"/>
    <mergeCell ref="A201:B201"/>
    <mergeCell ref="C201:D201"/>
    <mergeCell ref="E201:F201"/>
    <mergeCell ref="G201:H201"/>
    <mergeCell ref="I201:J201"/>
    <mergeCell ref="A202:B202"/>
    <mergeCell ref="C202:D202"/>
    <mergeCell ref="E202:F202"/>
    <mergeCell ref="G202:H202"/>
    <mergeCell ref="I202:J202"/>
    <mergeCell ref="A179:B197"/>
    <mergeCell ref="C179:D179"/>
    <mergeCell ref="E179:F179"/>
    <mergeCell ref="A203:J203"/>
    <mergeCell ref="K203:O203"/>
    <mergeCell ref="A204:B204"/>
    <mergeCell ref="C204:D204"/>
    <mergeCell ref="E204:F204"/>
    <mergeCell ref="G204:H204"/>
    <mergeCell ref="I204:J204"/>
    <mergeCell ref="K204:O204"/>
    <mergeCell ref="A205:B205"/>
    <mergeCell ref="C205:D205"/>
    <mergeCell ref="E205:F205"/>
    <mergeCell ref="G205:H205"/>
    <mergeCell ref="I205:J205"/>
    <mergeCell ref="K205:O205"/>
    <mergeCell ref="A206:J206"/>
    <mergeCell ref="K206:O206"/>
    <mergeCell ref="A207:B207"/>
    <mergeCell ref="C207:D207"/>
    <mergeCell ref="E207:F207"/>
    <mergeCell ref="G207:H207"/>
    <mergeCell ref="I207:J207"/>
    <mergeCell ref="K207:O207"/>
    <mergeCell ref="A208:J208"/>
    <mergeCell ref="K208:O208"/>
    <mergeCell ref="A209:R209"/>
    <mergeCell ref="A210:O210"/>
    <mergeCell ref="P210:R210"/>
    <mergeCell ref="B211:D211"/>
    <mergeCell ref="E211:F211"/>
    <mergeCell ref="G211:H211"/>
    <mergeCell ref="I211:J211"/>
    <mergeCell ref="K211:O211"/>
    <mergeCell ref="P211:R211"/>
    <mergeCell ref="B212:D212"/>
    <mergeCell ref="E212:F212"/>
    <mergeCell ref="G212:H212"/>
    <mergeCell ref="I212:J212"/>
    <mergeCell ref="K212:O212"/>
    <mergeCell ref="P212:R212"/>
    <mergeCell ref="A213:J213"/>
    <mergeCell ref="K213:O213"/>
    <mergeCell ref="P213:R213"/>
    <mergeCell ref="B214:D214"/>
    <mergeCell ref="E214:F214"/>
    <mergeCell ref="G214:H214"/>
    <mergeCell ref="I214:J214"/>
    <mergeCell ref="K214:O214"/>
    <mergeCell ref="P214:R214"/>
    <mergeCell ref="A215:A222"/>
    <mergeCell ref="B215:D222"/>
    <mergeCell ref="E215:F222"/>
    <mergeCell ref="G215:H222"/>
    <mergeCell ref="I215:J222"/>
    <mergeCell ref="K215:O215"/>
    <mergeCell ref="P215:R215"/>
    <mergeCell ref="K216:O216"/>
    <mergeCell ref="P216:R216"/>
    <mergeCell ref="K217:O217"/>
    <mergeCell ref="P217:R217"/>
    <mergeCell ref="K218:O218"/>
    <mergeCell ref="P218:R218"/>
    <mergeCell ref="K219:O219"/>
    <mergeCell ref="P219:R219"/>
    <mergeCell ref="K220:O220"/>
    <mergeCell ref="P220:R220"/>
    <mergeCell ref="K221:O221"/>
    <mergeCell ref="P221:R221"/>
    <mergeCell ref="K222:O222"/>
    <mergeCell ref="P222:R222"/>
    <mergeCell ref="A223:B223"/>
    <mergeCell ref="C223:D223"/>
    <mergeCell ref="E223:F223"/>
    <mergeCell ref="G223:H223"/>
    <mergeCell ref="I223:J223"/>
    <mergeCell ref="K223:O223"/>
    <mergeCell ref="A224:J224"/>
    <mergeCell ref="K224:O224"/>
    <mergeCell ref="A225:B225"/>
    <mergeCell ref="C225:D225"/>
    <mergeCell ref="E225:F225"/>
    <mergeCell ref="G225:H225"/>
    <mergeCell ref="I225:J225"/>
    <mergeCell ref="K225:O225"/>
    <mergeCell ref="A226:B226"/>
    <mergeCell ref="C226:D226"/>
    <mergeCell ref="E226:F226"/>
    <mergeCell ref="G226:H226"/>
    <mergeCell ref="I226:J226"/>
    <mergeCell ref="K226:O226"/>
    <mergeCell ref="A227:J227"/>
    <mergeCell ref="K227:O227"/>
    <mergeCell ref="A228:B228"/>
    <mergeCell ref="C228:D228"/>
    <mergeCell ref="E228:F228"/>
    <mergeCell ref="G228:H228"/>
    <mergeCell ref="I228:J228"/>
    <mergeCell ref="K228:O228"/>
    <mergeCell ref="A229:B229"/>
    <mergeCell ref="C229:D229"/>
    <mergeCell ref="E229:F229"/>
    <mergeCell ref="G229:H229"/>
    <mergeCell ref="I229:J229"/>
    <mergeCell ref="K229:O234"/>
    <mergeCell ref="A230:B230"/>
    <mergeCell ref="C230:D230"/>
    <mergeCell ref="E230:F230"/>
    <mergeCell ref="G230:H230"/>
    <mergeCell ref="I230:J230"/>
    <mergeCell ref="A231:B231"/>
    <mergeCell ref="C231:D231"/>
    <mergeCell ref="E231:F231"/>
    <mergeCell ref="G231:H231"/>
    <mergeCell ref="I231:J231"/>
    <mergeCell ref="A232:B232"/>
    <mergeCell ref="C232:D232"/>
    <mergeCell ref="E232:F232"/>
    <mergeCell ref="G232:H232"/>
    <mergeCell ref="I232:J232"/>
    <mergeCell ref="A233:B233"/>
    <mergeCell ref="C233:D233"/>
    <mergeCell ref="E233:F233"/>
    <mergeCell ref="G233:H233"/>
    <mergeCell ref="I233:J233"/>
    <mergeCell ref="A234:B234"/>
    <mergeCell ref="C234:D234"/>
    <mergeCell ref="E234:F234"/>
    <mergeCell ref="G234:H234"/>
    <mergeCell ref="I234:J234"/>
    <mergeCell ref="A235:B235"/>
    <mergeCell ref="C235:D235"/>
    <mergeCell ref="E235:F235"/>
    <mergeCell ref="G235:H235"/>
    <mergeCell ref="I235:J235"/>
    <mergeCell ref="K235:O235"/>
    <mergeCell ref="A236:B236"/>
    <mergeCell ref="C236:D236"/>
    <mergeCell ref="E236:F236"/>
    <mergeCell ref="G236:H236"/>
    <mergeCell ref="I236:J236"/>
    <mergeCell ref="K236:O236"/>
    <mergeCell ref="A237:J237"/>
    <mergeCell ref="K237:O237"/>
    <mergeCell ref="A238:B238"/>
    <mergeCell ref="C238:D238"/>
    <mergeCell ref="E238:F238"/>
    <mergeCell ref="G238:H238"/>
    <mergeCell ref="I238:J238"/>
    <mergeCell ref="K238:O238"/>
    <mergeCell ref="A239:B239"/>
    <mergeCell ref="C239:D239"/>
    <mergeCell ref="E239:F239"/>
    <mergeCell ref="G239:H239"/>
    <mergeCell ref="I239:J239"/>
    <mergeCell ref="K239:O239"/>
    <mergeCell ref="A240:J240"/>
    <mergeCell ref="K240:O240"/>
    <mergeCell ref="A241:B241"/>
    <mergeCell ref="C241:D241"/>
    <mergeCell ref="E241:F241"/>
    <mergeCell ref="G241:H241"/>
    <mergeCell ref="I241:J241"/>
    <mergeCell ref="K241:O241"/>
    <mergeCell ref="A242:B242"/>
    <mergeCell ref="C242:D242"/>
    <mergeCell ref="E242:F242"/>
    <mergeCell ref="G242:H242"/>
    <mergeCell ref="I242:J242"/>
    <mergeCell ref="K242:O242"/>
    <mergeCell ref="A243:B243"/>
    <mergeCell ref="C243:D243"/>
    <mergeCell ref="E243:F243"/>
    <mergeCell ref="G243:H243"/>
    <mergeCell ref="I243:J243"/>
    <mergeCell ref="K243:O250"/>
    <mergeCell ref="A244:B244"/>
    <mergeCell ref="C244:D244"/>
    <mergeCell ref="E244:F244"/>
    <mergeCell ref="G244:H244"/>
    <mergeCell ref="I244:J244"/>
    <mergeCell ref="A245:B245"/>
    <mergeCell ref="C245:D245"/>
    <mergeCell ref="E245:F245"/>
    <mergeCell ref="G245:H245"/>
    <mergeCell ref="I245:J245"/>
    <mergeCell ref="A246:B246"/>
    <mergeCell ref="C246:D246"/>
    <mergeCell ref="E246:F246"/>
    <mergeCell ref="G246:H246"/>
    <mergeCell ref="I246:J246"/>
    <mergeCell ref="A247:B247"/>
    <mergeCell ref="C247:D247"/>
    <mergeCell ref="E247:F247"/>
    <mergeCell ref="G247:H247"/>
    <mergeCell ref="I247:J247"/>
    <mergeCell ref="A248:B248"/>
    <mergeCell ref="C248:D248"/>
    <mergeCell ref="E248:F248"/>
    <mergeCell ref="G248:H248"/>
    <mergeCell ref="I248:J248"/>
    <mergeCell ref="A249:B249"/>
    <mergeCell ref="C249:D249"/>
    <mergeCell ref="E249:F249"/>
    <mergeCell ref="G249:H249"/>
    <mergeCell ref="I249:J249"/>
    <mergeCell ref="A250:B250"/>
    <mergeCell ref="C250:D250"/>
    <mergeCell ref="E250:F250"/>
    <mergeCell ref="G250:H250"/>
    <mergeCell ref="I250:J250"/>
    <mergeCell ref="A251:J251"/>
    <mergeCell ref="K251:O251"/>
    <mergeCell ref="A252:B252"/>
    <mergeCell ref="C252:D252"/>
    <mergeCell ref="E252:F252"/>
    <mergeCell ref="G252:H252"/>
    <mergeCell ref="I252:J252"/>
    <mergeCell ref="K252:O252"/>
    <mergeCell ref="A253:B253"/>
    <mergeCell ref="C253:D253"/>
    <mergeCell ref="E253:F253"/>
    <mergeCell ref="G253:H253"/>
    <mergeCell ref="I253:J253"/>
    <mergeCell ref="K253:O253"/>
    <mergeCell ref="A254:J254"/>
    <mergeCell ref="K254:O254"/>
    <mergeCell ref="A255:B255"/>
    <mergeCell ref="C255:D255"/>
    <mergeCell ref="E255:F255"/>
    <mergeCell ref="G255:H255"/>
    <mergeCell ref="I255:J255"/>
    <mergeCell ref="K255:O255"/>
    <mergeCell ref="A256:J256"/>
    <mergeCell ref="K256:O256"/>
    <mergeCell ref="A257:J257"/>
    <mergeCell ref="K257:O257"/>
    <mergeCell ref="A258:B258"/>
    <mergeCell ref="C258:D258"/>
    <mergeCell ref="E258:F258"/>
    <mergeCell ref="G258:H258"/>
    <mergeCell ref="I258:J258"/>
    <mergeCell ref="K258:O258"/>
    <mergeCell ref="A259:B259"/>
    <mergeCell ref="C259:D259"/>
    <mergeCell ref="E259:F259"/>
    <mergeCell ref="G259:H259"/>
    <mergeCell ref="I259:J259"/>
    <mergeCell ref="K259:O259"/>
    <mergeCell ref="A260:J260"/>
    <mergeCell ref="K260:O260"/>
    <mergeCell ref="A261:B261"/>
    <mergeCell ref="C261:D261"/>
    <mergeCell ref="E261:F261"/>
    <mergeCell ref="G261:H261"/>
    <mergeCell ref="I261:J261"/>
    <mergeCell ref="K261:O261"/>
    <mergeCell ref="A262:J262"/>
    <mergeCell ref="K262:O262"/>
    <mergeCell ref="A263:J263"/>
    <mergeCell ref="K263:O263"/>
    <mergeCell ref="A264:B264"/>
    <mergeCell ref="C264:D264"/>
    <mergeCell ref="E264:F264"/>
    <mergeCell ref="G264:H264"/>
    <mergeCell ref="I264:J264"/>
    <mergeCell ref="K264:O264"/>
    <mergeCell ref="A265:B265"/>
    <mergeCell ref="C265:D265"/>
    <mergeCell ref="E265:F265"/>
    <mergeCell ref="G265:H265"/>
    <mergeCell ref="I265:J265"/>
    <mergeCell ref="K265:O277"/>
    <mergeCell ref="A266:B266"/>
    <mergeCell ref="C266:D266"/>
    <mergeCell ref="E266:F266"/>
    <mergeCell ref="G266:H266"/>
    <mergeCell ref="I266:J266"/>
    <mergeCell ref="A267:B267"/>
    <mergeCell ref="C267:D267"/>
    <mergeCell ref="E267:F267"/>
    <mergeCell ref="G267:H267"/>
    <mergeCell ref="I267:J267"/>
    <mergeCell ref="A268:B268"/>
    <mergeCell ref="C268:D268"/>
    <mergeCell ref="E268:F268"/>
    <mergeCell ref="G268:H268"/>
    <mergeCell ref="I268:J268"/>
    <mergeCell ref="A269:B269"/>
    <mergeCell ref="C269:D269"/>
    <mergeCell ref="E269:F269"/>
    <mergeCell ref="G269:H269"/>
    <mergeCell ref="I269:J269"/>
    <mergeCell ref="A270:B270"/>
    <mergeCell ref="C270:D270"/>
    <mergeCell ref="E270:F270"/>
    <mergeCell ref="G270:H270"/>
    <mergeCell ref="I270:J270"/>
    <mergeCell ref="A271:B271"/>
    <mergeCell ref="C271:D271"/>
    <mergeCell ref="E271:F271"/>
    <mergeCell ref="G271:H271"/>
    <mergeCell ref="I271:J271"/>
    <mergeCell ref="A272:B272"/>
    <mergeCell ref="C272:D272"/>
    <mergeCell ref="E272:F272"/>
    <mergeCell ref="G272:H272"/>
    <mergeCell ref="I272:J272"/>
    <mergeCell ref="A273:B273"/>
    <mergeCell ref="C273:D273"/>
    <mergeCell ref="E273:F273"/>
    <mergeCell ref="G273:H273"/>
    <mergeCell ref="I273:J273"/>
    <mergeCell ref="A274:B274"/>
    <mergeCell ref="C274:D274"/>
    <mergeCell ref="E274:F274"/>
    <mergeCell ref="G274:H274"/>
    <mergeCell ref="I274:J274"/>
    <mergeCell ref="A275:B275"/>
    <mergeCell ref="C275:D275"/>
    <mergeCell ref="E275:F275"/>
    <mergeCell ref="G275:H275"/>
    <mergeCell ref="I275:J275"/>
    <mergeCell ref="A276:B276"/>
    <mergeCell ref="C276:D276"/>
    <mergeCell ref="E276:F276"/>
    <mergeCell ref="G276:H276"/>
    <mergeCell ref="I276:J276"/>
    <mergeCell ref="A277:B277"/>
    <mergeCell ref="C277:D277"/>
    <mergeCell ref="E277:F277"/>
    <mergeCell ref="G277:H277"/>
    <mergeCell ref="I277:J277"/>
    <mergeCell ref="A278:J278"/>
    <mergeCell ref="K278:O278"/>
    <mergeCell ref="A279:B279"/>
    <mergeCell ref="C279:D279"/>
    <mergeCell ref="E279:F279"/>
    <mergeCell ref="G279:H279"/>
    <mergeCell ref="I279:J279"/>
    <mergeCell ref="K279:O279"/>
    <mergeCell ref="A280:B280"/>
    <mergeCell ref="C280:D280"/>
    <mergeCell ref="E280:F280"/>
    <mergeCell ref="G280:H280"/>
    <mergeCell ref="I280:J280"/>
    <mergeCell ref="K280:O282"/>
    <mergeCell ref="A281:B281"/>
    <mergeCell ref="C281:D281"/>
    <mergeCell ref="E281:F281"/>
    <mergeCell ref="G281:H281"/>
    <mergeCell ref="I281:J281"/>
    <mergeCell ref="A282:B282"/>
    <mergeCell ref="C282:D282"/>
    <mergeCell ref="E282:F282"/>
    <mergeCell ref="G282:H282"/>
    <mergeCell ref="I282:J282"/>
    <mergeCell ref="A283:J283"/>
    <mergeCell ref="K283:O283"/>
    <mergeCell ref="A284:B284"/>
    <mergeCell ref="C284:D284"/>
    <mergeCell ref="E284:F284"/>
    <mergeCell ref="G284:H284"/>
    <mergeCell ref="I284:J284"/>
    <mergeCell ref="K284:O284"/>
    <mergeCell ref="A285:B285"/>
    <mergeCell ref="C285:D285"/>
    <mergeCell ref="E285:F285"/>
    <mergeCell ref="G285:H285"/>
    <mergeCell ref="I285:J285"/>
    <mergeCell ref="K285:O295"/>
    <mergeCell ref="A286:B286"/>
    <mergeCell ref="C286:D286"/>
    <mergeCell ref="E286:F286"/>
    <mergeCell ref="G286:H286"/>
    <mergeCell ref="I286:J286"/>
    <mergeCell ref="A287:B287"/>
    <mergeCell ref="C287:D287"/>
    <mergeCell ref="E287:F287"/>
    <mergeCell ref="G287:H287"/>
    <mergeCell ref="I287:J287"/>
    <mergeCell ref="A288:B288"/>
    <mergeCell ref="C288:D288"/>
    <mergeCell ref="E288:F288"/>
    <mergeCell ref="G288:H288"/>
    <mergeCell ref="I288:J288"/>
    <mergeCell ref="A289:B289"/>
    <mergeCell ref="C289:D289"/>
    <mergeCell ref="E289:F289"/>
    <mergeCell ref="G289:H289"/>
    <mergeCell ref="I289:J289"/>
    <mergeCell ref="A290:B290"/>
    <mergeCell ref="C290:D290"/>
    <mergeCell ref="E290:F290"/>
    <mergeCell ref="G290:H290"/>
    <mergeCell ref="I290:J290"/>
    <mergeCell ref="A291:B291"/>
    <mergeCell ref="C291:D291"/>
    <mergeCell ref="E291:F291"/>
    <mergeCell ref="G291:H291"/>
    <mergeCell ref="I291:J291"/>
    <mergeCell ref="A292:B292"/>
    <mergeCell ref="C292:D292"/>
    <mergeCell ref="E292:F292"/>
    <mergeCell ref="G292:H292"/>
    <mergeCell ref="I292:J292"/>
    <mergeCell ref="A293:B293"/>
    <mergeCell ref="C293:D293"/>
    <mergeCell ref="E293:F293"/>
    <mergeCell ref="G293:H293"/>
    <mergeCell ref="I293:J293"/>
    <mergeCell ref="A294:B294"/>
    <mergeCell ref="C294:D294"/>
    <mergeCell ref="E294:F294"/>
    <mergeCell ref="G294:H294"/>
    <mergeCell ref="I294:J294"/>
    <mergeCell ref="A295:B295"/>
    <mergeCell ref="C295:D295"/>
    <mergeCell ref="E295:F295"/>
    <mergeCell ref="G295:H295"/>
    <mergeCell ref="I295:J295"/>
    <mergeCell ref="A296:J296"/>
    <mergeCell ref="K296:O296"/>
    <mergeCell ref="A297:B297"/>
    <mergeCell ref="C297:D297"/>
    <mergeCell ref="E297:F297"/>
    <mergeCell ref="G297:H297"/>
    <mergeCell ref="I297:J297"/>
    <mergeCell ref="K297:O297"/>
    <mergeCell ref="A298:B298"/>
    <mergeCell ref="C298:D298"/>
    <mergeCell ref="E298:F298"/>
    <mergeCell ref="G298:H298"/>
    <mergeCell ref="I298:J298"/>
    <mergeCell ref="K298:O300"/>
    <mergeCell ref="A299:B299"/>
    <mergeCell ref="C299:D299"/>
    <mergeCell ref="E299:F299"/>
    <mergeCell ref="G299:H299"/>
    <mergeCell ref="I299:J299"/>
    <mergeCell ref="A300:B300"/>
    <mergeCell ref="C300:D300"/>
    <mergeCell ref="E300:F300"/>
    <mergeCell ref="G300:H300"/>
    <mergeCell ref="I300:J300"/>
    <mergeCell ref="A301:J301"/>
    <mergeCell ref="K301:O301"/>
    <mergeCell ref="A302:B302"/>
    <mergeCell ref="C302:D302"/>
    <mergeCell ref="E302:F302"/>
    <mergeCell ref="G302:H302"/>
    <mergeCell ref="I302:J302"/>
    <mergeCell ref="K302:O302"/>
    <mergeCell ref="A303:B303"/>
    <mergeCell ref="C303:D303"/>
    <mergeCell ref="E303:F303"/>
    <mergeCell ref="G303:H303"/>
    <mergeCell ref="I303:J303"/>
    <mergeCell ref="K303:O303"/>
    <mergeCell ref="A304:J304"/>
    <mergeCell ref="K304:O304"/>
    <mergeCell ref="A305:B305"/>
    <mergeCell ref="C305:D305"/>
    <mergeCell ref="E305:F305"/>
    <mergeCell ref="G305:H305"/>
    <mergeCell ref="I305:J305"/>
    <mergeCell ref="K305:O305"/>
    <mergeCell ref="A306:J306"/>
    <mergeCell ref="K306:O306"/>
    <mergeCell ref="A307:R307"/>
    <mergeCell ref="A308:O308"/>
    <mergeCell ref="P308:R308"/>
    <mergeCell ref="B309:D309"/>
    <mergeCell ref="E309:F309"/>
    <mergeCell ref="G309:H309"/>
    <mergeCell ref="I309:J309"/>
    <mergeCell ref="K309:O309"/>
    <mergeCell ref="P309:R309"/>
    <mergeCell ref="B310:D310"/>
    <mergeCell ref="E310:F310"/>
    <mergeCell ref="G310:H310"/>
    <mergeCell ref="I310:J310"/>
    <mergeCell ref="K310:O310"/>
    <mergeCell ref="P310:R310"/>
    <mergeCell ref="A311:J311"/>
    <mergeCell ref="K311:O311"/>
    <mergeCell ref="P311:R311"/>
    <mergeCell ref="B312:D312"/>
    <mergeCell ref="E312:F312"/>
    <mergeCell ref="G312:H312"/>
    <mergeCell ref="I312:J312"/>
    <mergeCell ref="K312:O312"/>
    <mergeCell ref="P312:R312"/>
    <mergeCell ref="A313:A320"/>
    <mergeCell ref="B313:D320"/>
    <mergeCell ref="E313:F320"/>
    <mergeCell ref="G313:H320"/>
    <mergeCell ref="I313:J320"/>
    <mergeCell ref="K313:O313"/>
    <mergeCell ref="P313:R313"/>
    <mergeCell ref="K314:O314"/>
    <mergeCell ref="P314:R314"/>
    <mergeCell ref="K315:O315"/>
    <mergeCell ref="P315:R315"/>
    <mergeCell ref="K316:O316"/>
    <mergeCell ref="P316:R316"/>
    <mergeCell ref="K317:O317"/>
    <mergeCell ref="P317:R317"/>
    <mergeCell ref="K318:O318"/>
    <mergeCell ref="P318:R318"/>
    <mergeCell ref="K319:O319"/>
    <mergeCell ref="P319:R319"/>
    <mergeCell ref="K320:O320"/>
    <mergeCell ref="P320:R320"/>
    <mergeCell ref="A321:B321"/>
    <mergeCell ref="C321:D321"/>
    <mergeCell ref="E321:F321"/>
    <mergeCell ref="G321:H321"/>
    <mergeCell ref="I321:J321"/>
    <mergeCell ref="K321:O321"/>
    <mergeCell ref="A322:J322"/>
    <mergeCell ref="K322:O322"/>
    <mergeCell ref="A323:B323"/>
    <mergeCell ref="C323:D323"/>
    <mergeCell ref="E323:F323"/>
    <mergeCell ref="G323:H323"/>
    <mergeCell ref="I323:J323"/>
    <mergeCell ref="K323:O323"/>
    <mergeCell ref="A324:B324"/>
    <mergeCell ref="C324:D324"/>
    <mergeCell ref="E324:F324"/>
    <mergeCell ref="G324:H324"/>
    <mergeCell ref="I324:J324"/>
    <mergeCell ref="K324:O330"/>
    <mergeCell ref="A325:B325"/>
    <mergeCell ref="C325:D325"/>
    <mergeCell ref="E325:F325"/>
    <mergeCell ref="G325:H325"/>
    <mergeCell ref="I325:J325"/>
    <mergeCell ref="A326:B326"/>
    <mergeCell ref="C326:D326"/>
    <mergeCell ref="E326:F326"/>
    <mergeCell ref="G326:H326"/>
    <mergeCell ref="I326:J326"/>
    <mergeCell ref="A327:B327"/>
    <mergeCell ref="C327:D327"/>
    <mergeCell ref="E327:F327"/>
    <mergeCell ref="G327:H327"/>
    <mergeCell ref="I327:J327"/>
    <mergeCell ref="A328:B328"/>
    <mergeCell ref="C328:D328"/>
    <mergeCell ref="E328:F328"/>
    <mergeCell ref="G328:H328"/>
    <mergeCell ref="I328:J328"/>
    <mergeCell ref="A329:B329"/>
    <mergeCell ref="C329:D329"/>
    <mergeCell ref="E329:F329"/>
    <mergeCell ref="G329:H329"/>
    <mergeCell ref="I329:J329"/>
    <mergeCell ref="A330:B330"/>
    <mergeCell ref="C330:D330"/>
    <mergeCell ref="E330:F330"/>
    <mergeCell ref="G330:H330"/>
    <mergeCell ref="I330:J330"/>
    <mergeCell ref="A331:J331"/>
    <mergeCell ref="K331:O331"/>
    <mergeCell ref="A332:B332"/>
    <mergeCell ref="C332:D332"/>
    <mergeCell ref="E332:F332"/>
    <mergeCell ref="G332:H332"/>
    <mergeCell ref="I332:J332"/>
    <mergeCell ref="K332:O332"/>
    <mergeCell ref="A333:B333"/>
    <mergeCell ref="C333:D333"/>
    <mergeCell ref="E333:F333"/>
    <mergeCell ref="G333:H333"/>
    <mergeCell ref="I333:J333"/>
    <mergeCell ref="K333:O336"/>
    <mergeCell ref="A334:B334"/>
    <mergeCell ref="C334:D334"/>
    <mergeCell ref="E334:F334"/>
    <mergeCell ref="G334:H334"/>
    <mergeCell ref="I334:J334"/>
    <mergeCell ref="A335:B335"/>
    <mergeCell ref="C335:D335"/>
    <mergeCell ref="E335:F335"/>
    <mergeCell ref="G335:H335"/>
    <mergeCell ref="I335:J335"/>
    <mergeCell ref="A336:B336"/>
    <mergeCell ref="C336:D336"/>
    <mergeCell ref="E336:F336"/>
    <mergeCell ref="G336:H336"/>
    <mergeCell ref="I336:J336"/>
    <mergeCell ref="A337:J337"/>
    <mergeCell ref="K337:O337"/>
    <mergeCell ref="A338:B338"/>
    <mergeCell ref="C338:D338"/>
    <mergeCell ref="E338:F338"/>
    <mergeCell ref="G338:H338"/>
    <mergeCell ref="I338:J338"/>
    <mergeCell ref="K338:O338"/>
    <mergeCell ref="A339:B347"/>
    <mergeCell ref="C339:D339"/>
    <mergeCell ref="E339:F339"/>
    <mergeCell ref="G339:H339"/>
    <mergeCell ref="I339:J339"/>
    <mergeCell ref="K339:O339"/>
    <mergeCell ref="C340:D340"/>
    <mergeCell ref="E340:F340"/>
    <mergeCell ref="G340:H340"/>
    <mergeCell ref="I340:J340"/>
    <mergeCell ref="K340:O340"/>
    <mergeCell ref="C341:D341"/>
    <mergeCell ref="E341:F341"/>
    <mergeCell ref="G341:H341"/>
    <mergeCell ref="I341:J341"/>
    <mergeCell ref="K341:O341"/>
    <mergeCell ref="C342:D342"/>
    <mergeCell ref="E342:F342"/>
    <mergeCell ref="G342:H342"/>
    <mergeCell ref="I342:J342"/>
    <mergeCell ref="K342:O342"/>
    <mergeCell ref="C343:D343"/>
    <mergeCell ref="E343:F343"/>
    <mergeCell ref="G343:H343"/>
    <mergeCell ref="I343:J343"/>
    <mergeCell ref="K343:O343"/>
    <mergeCell ref="C344:D344"/>
    <mergeCell ref="E344:F344"/>
    <mergeCell ref="G344:H344"/>
    <mergeCell ref="I344:J344"/>
    <mergeCell ref="K344:O344"/>
    <mergeCell ref="C345:D345"/>
    <mergeCell ref="E345:F345"/>
    <mergeCell ref="G345:H345"/>
    <mergeCell ref="I345:J345"/>
    <mergeCell ref="K345:O345"/>
    <mergeCell ref="C346:D346"/>
    <mergeCell ref="E346:F346"/>
    <mergeCell ref="G346:H346"/>
    <mergeCell ref="I346:J346"/>
    <mergeCell ref="K346:O346"/>
    <mergeCell ref="C347:D347"/>
    <mergeCell ref="E347:F347"/>
    <mergeCell ref="G347:H347"/>
    <mergeCell ref="I347:J347"/>
    <mergeCell ref="K347:O347"/>
    <mergeCell ref="A348:J348"/>
    <mergeCell ref="K348:O348"/>
    <mergeCell ref="A349:B349"/>
    <mergeCell ref="C349:D349"/>
    <mergeCell ref="E349:F349"/>
    <mergeCell ref="G349:H349"/>
    <mergeCell ref="I349:J349"/>
    <mergeCell ref="K349:O349"/>
    <mergeCell ref="A350:B355"/>
    <mergeCell ref="C350:D350"/>
    <mergeCell ref="E350:F350"/>
    <mergeCell ref="G350:H350"/>
    <mergeCell ref="I350:J350"/>
    <mergeCell ref="K350:O350"/>
    <mergeCell ref="C351:D351"/>
    <mergeCell ref="E351:F351"/>
    <mergeCell ref="G351:H351"/>
    <mergeCell ref="I351:J351"/>
    <mergeCell ref="K351:O351"/>
    <mergeCell ref="C352:D352"/>
    <mergeCell ref="E352:F352"/>
    <mergeCell ref="G352:H352"/>
    <mergeCell ref="I352:J352"/>
    <mergeCell ref="K352:O352"/>
    <mergeCell ref="C353:D353"/>
    <mergeCell ref="E353:F353"/>
    <mergeCell ref="G353:H353"/>
    <mergeCell ref="I353:J353"/>
    <mergeCell ref="K353:O353"/>
    <mergeCell ref="C354:D354"/>
    <mergeCell ref="E354:F354"/>
    <mergeCell ref="G354:H354"/>
    <mergeCell ref="I354:J354"/>
    <mergeCell ref="K354:O354"/>
    <mergeCell ref="C355:D355"/>
    <mergeCell ref="E355:F355"/>
    <mergeCell ref="G355:H355"/>
    <mergeCell ref="I355:J355"/>
    <mergeCell ref="K355:O355"/>
    <mergeCell ref="A356:J356"/>
    <mergeCell ref="K356:O356"/>
    <mergeCell ref="A357:B357"/>
    <mergeCell ref="C357:D357"/>
    <mergeCell ref="E357:F357"/>
    <mergeCell ref="G357:H357"/>
    <mergeCell ref="I357:J357"/>
    <mergeCell ref="K357:O357"/>
    <mergeCell ref="A358:B358"/>
    <mergeCell ref="C358:D358"/>
    <mergeCell ref="E358:F358"/>
    <mergeCell ref="G358:H358"/>
    <mergeCell ref="I358:J358"/>
    <mergeCell ref="K358:O361"/>
    <mergeCell ref="A359:B359"/>
    <mergeCell ref="C359:D359"/>
    <mergeCell ref="E359:F359"/>
    <mergeCell ref="G359:H359"/>
    <mergeCell ref="I359:J359"/>
    <mergeCell ref="A360:B360"/>
    <mergeCell ref="C360:D360"/>
    <mergeCell ref="E360:F360"/>
    <mergeCell ref="G360:H360"/>
    <mergeCell ref="I360:J360"/>
    <mergeCell ref="A361:B361"/>
    <mergeCell ref="C361:D361"/>
    <mergeCell ref="E361:F361"/>
    <mergeCell ref="G361:H361"/>
    <mergeCell ref="I361:J361"/>
    <mergeCell ref="A362:J362"/>
    <mergeCell ref="K362:O362"/>
    <mergeCell ref="A363:B363"/>
    <mergeCell ref="C363:D363"/>
    <mergeCell ref="E363:F363"/>
    <mergeCell ref="G363:H363"/>
    <mergeCell ref="I363:J363"/>
    <mergeCell ref="K363:O363"/>
    <mergeCell ref="A364:J364"/>
    <mergeCell ref="K364:O364"/>
    <mergeCell ref="A365:B365"/>
    <mergeCell ref="C365:D365"/>
    <mergeCell ref="E365:F365"/>
    <mergeCell ref="G365:H365"/>
    <mergeCell ref="I365:J365"/>
    <mergeCell ref="K365:O365"/>
    <mergeCell ref="A366:J366"/>
    <mergeCell ref="K366:O366"/>
    <mergeCell ref="A367:B367"/>
    <mergeCell ref="C367:D367"/>
    <mergeCell ref="E367:F367"/>
    <mergeCell ref="G367:H367"/>
    <mergeCell ref="I367:J367"/>
    <mergeCell ref="K367:O367"/>
    <mergeCell ref="A368:B368"/>
    <mergeCell ref="C368:D368"/>
    <mergeCell ref="E368:F368"/>
    <mergeCell ref="G368:H368"/>
    <mergeCell ref="I368:J368"/>
    <mergeCell ref="K368:O368"/>
    <mergeCell ref="A369:J369"/>
    <mergeCell ref="K369:O369"/>
    <mergeCell ref="A370:B370"/>
    <mergeCell ref="C370:D370"/>
    <mergeCell ref="E370:F370"/>
    <mergeCell ref="G370:H370"/>
    <mergeCell ref="I370:J370"/>
    <mergeCell ref="K370:O370"/>
    <mergeCell ref="A371:J371"/>
    <mergeCell ref="K371:O371"/>
    <mergeCell ref="A372:J372"/>
    <mergeCell ref="K372:O372"/>
    <mergeCell ref="A373:B373"/>
    <mergeCell ref="C373:D373"/>
    <mergeCell ref="E373:F373"/>
    <mergeCell ref="G373:H373"/>
    <mergeCell ref="I373:J373"/>
    <mergeCell ref="K373:O373"/>
    <mergeCell ref="A374:B374"/>
    <mergeCell ref="C374:D374"/>
    <mergeCell ref="E374:F374"/>
    <mergeCell ref="G374:H374"/>
    <mergeCell ref="I374:J374"/>
    <mergeCell ref="K374:O374"/>
    <mergeCell ref="A375:B375"/>
    <mergeCell ref="C375:D375"/>
    <mergeCell ref="E375:F375"/>
    <mergeCell ref="G375:H375"/>
    <mergeCell ref="I375:J375"/>
    <mergeCell ref="K375:O375"/>
    <mergeCell ref="A376:B376"/>
    <mergeCell ref="C376:D376"/>
    <mergeCell ref="E376:F376"/>
    <mergeCell ref="G376:H376"/>
    <mergeCell ref="I376:J376"/>
    <mergeCell ref="K376:O376"/>
    <mergeCell ref="A377:B377"/>
    <mergeCell ref="C377:D377"/>
    <mergeCell ref="E377:F377"/>
    <mergeCell ref="G377:H377"/>
    <mergeCell ref="I377:J377"/>
    <mergeCell ref="K377:O377"/>
    <mergeCell ref="A378:B378"/>
    <mergeCell ref="C378:D378"/>
    <mergeCell ref="E378:F378"/>
    <mergeCell ref="G378:H378"/>
    <mergeCell ref="I378:J378"/>
    <mergeCell ref="K378:O378"/>
    <mergeCell ref="A379:B379"/>
    <mergeCell ref="C379:D379"/>
    <mergeCell ref="E379:F379"/>
    <mergeCell ref="G379:H379"/>
    <mergeCell ref="I379:J379"/>
    <mergeCell ref="K379:O379"/>
    <mergeCell ref="A380:B380"/>
    <mergeCell ref="C380:D380"/>
    <mergeCell ref="E380:F380"/>
    <mergeCell ref="G380:H380"/>
    <mergeCell ref="I380:J380"/>
    <mergeCell ref="K380:O380"/>
    <mergeCell ref="A381:B381"/>
    <mergeCell ref="C381:D381"/>
    <mergeCell ref="E381:F381"/>
    <mergeCell ref="G381:H381"/>
    <mergeCell ref="I381:J381"/>
    <mergeCell ref="K381:O381"/>
    <mergeCell ref="A382:B382"/>
    <mergeCell ref="C382:D382"/>
    <mergeCell ref="E382:F382"/>
    <mergeCell ref="G382:H382"/>
    <mergeCell ref="I382:J382"/>
    <mergeCell ref="K382:O382"/>
    <mergeCell ref="A383:B383"/>
    <mergeCell ref="C383:D383"/>
    <mergeCell ref="E383:F383"/>
    <mergeCell ref="G383:H383"/>
    <mergeCell ref="I383:J383"/>
    <mergeCell ref="K383:O383"/>
    <mergeCell ref="A384:J384"/>
    <mergeCell ref="K384:O384"/>
    <mergeCell ref="A385:B385"/>
    <mergeCell ref="C385:D385"/>
    <mergeCell ref="E385:F385"/>
    <mergeCell ref="G385:H385"/>
    <mergeCell ref="I385:J385"/>
    <mergeCell ref="K385:O385"/>
    <mergeCell ref="A386:B386"/>
    <mergeCell ref="C386:D386"/>
    <mergeCell ref="E386:F386"/>
    <mergeCell ref="G386:H386"/>
    <mergeCell ref="I386:J386"/>
    <mergeCell ref="K386:O386"/>
    <mergeCell ref="A387:B387"/>
    <mergeCell ref="C387:D387"/>
    <mergeCell ref="E387:F387"/>
    <mergeCell ref="G387:H387"/>
    <mergeCell ref="I387:J387"/>
    <mergeCell ref="K387:O387"/>
    <mergeCell ref="A388:J388"/>
    <mergeCell ref="K388:O388"/>
    <mergeCell ref="A389:B389"/>
    <mergeCell ref="C389:D389"/>
    <mergeCell ref="E389:F389"/>
    <mergeCell ref="G389:H389"/>
    <mergeCell ref="I389:J389"/>
    <mergeCell ref="K389:O389"/>
    <mergeCell ref="A390:B390"/>
    <mergeCell ref="C390:D390"/>
    <mergeCell ref="E390:F390"/>
    <mergeCell ref="G390:H390"/>
    <mergeCell ref="I390:J390"/>
    <mergeCell ref="K390:O390"/>
    <mergeCell ref="A391:B391"/>
    <mergeCell ref="C391:D391"/>
    <mergeCell ref="E391:F391"/>
    <mergeCell ref="G391:H391"/>
    <mergeCell ref="I391:J391"/>
    <mergeCell ref="K391:O391"/>
    <mergeCell ref="A392:B392"/>
    <mergeCell ref="C392:D392"/>
    <mergeCell ref="E392:F392"/>
    <mergeCell ref="G392:H392"/>
    <mergeCell ref="I392:J392"/>
    <mergeCell ref="K392:O392"/>
    <mergeCell ref="A393:B393"/>
    <mergeCell ref="C393:D393"/>
    <mergeCell ref="E393:F393"/>
    <mergeCell ref="G393:H393"/>
    <mergeCell ref="I393:J393"/>
    <mergeCell ref="K393:O393"/>
    <mergeCell ref="A394:J394"/>
    <mergeCell ref="K394:O394"/>
    <mergeCell ref="A395:B395"/>
    <mergeCell ref="C395:D395"/>
    <mergeCell ref="E395:F395"/>
    <mergeCell ref="G395:H395"/>
    <mergeCell ref="I395:J395"/>
    <mergeCell ref="K395:O395"/>
    <mergeCell ref="A396:B396"/>
    <mergeCell ref="C396:D396"/>
    <mergeCell ref="E396:F396"/>
    <mergeCell ref="G396:H396"/>
    <mergeCell ref="I396:J396"/>
    <mergeCell ref="K396:O399"/>
    <mergeCell ref="A397:B397"/>
    <mergeCell ref="C397:D397"/>
    <mergeCell ref="E397:F397"/>
    <mergeCell ref="G397:H397"/>
    <mergeCell ref="I397:J397"/>
    <mergeCell ref="A398:B398"/>
    <mergeCell ref="C398:D398"/>
    <mergeCell ref="E398:F398"/>
    <mergeCell ref="G398:H398"/>
    <mergeCell ref="I398:J398"/>
    <mergeCell ref="A399:B399"/>
    <mergeCell ref="C399:D399"/>
    <mergeCell ref="E399:F399"/>
    <mergeCell ref="G399:H399"/>
    <mergeCell ref="I399:J399"/>
    <mergeCell ref="A400:J400"/>
    <mergeCell ref="K400:O400"/>
    <mergeCell ref="A401:B401"/>
    <mergeCell ref="C401:D401"/>
    <mergeCell ref="E401:F401"/>
    <mergeCell ref="G401:H401"/>
    <mergeCell ref="I401:J401"/>
    <mergeCell ref="K401:O401"/>
    <mergeCell ref="A402:B402"/>
    <mergeCell ref="C402:D402"/>
    <mergeCell ref="E402:F402"/>
    <mergeCell ref="G402:H402"/>
    <mergeCell ref="I402:J402"/>
    <mergeCell ref="K402:O402"/>
    <mergeCell ref="A403:J403"/>
    <mergeCell ref="K403:O403"/>
    <mergeCell ref="A404:B404"/>
    <mergeCell ref="C404:D404"/>
    <mergeCell ref="E404:F404"/>
    <mergeCell ref="G404:H404"/>
    <mergeCell ref="I404:J404"/>
    <mergeCell ref="K404:O404"/>
    <mergeCell ref="A405:J405"/>
    <mergeCell ref="K405:O405"/>
    <mergeCell ref="A406:R406"/>
    <mergeCell ref="A407:O407"/>
    <mergeCell ref="P407:R407"/>
    <mergeCell ref="B408:D408"/>
    <mergeCell ref="E408:F408"/>
    <mergeCell ref="G408:H408"/>
    <mergeCell ref="I408:J408"/>
    <mergeCell ref="K408:O408"/>
    <mergeCell ref="P408:R408"/>
    <mergeCell ref="B409:D409"/>
    <mergeCell ref="E409:F409"/>
    <mergeCell ref="G409:H409"/>
    <mergeCell ref="I409:J409"/>
    <mergeCell ref="K409:O409"/>
    <mergeCell ref="P409:R409"/>
    <mergeCell ref="A410:J410"/>
    <mergeCell ref="K410:O410"/>
    <mergeCell ref="P410:R410"/>
    <mergeCell ref="B411:D411"/>
    <mergeCell ref="E411:F411"/>
    <mergeCell ref="G411:H411"/>
    <mergeCell ref="I411:J411"/>
    <mergeCell ref="K411:O411"/>
    <mergeCell ref="P411:R411"/>
    <mergeCell ref="A412:A416"/>
    <mergeCell ref="B412:D416"/>
    <mergeCell ref="E412:F416"/>
    <mergeCell ref="G412:H416"/>
    <mergeCell ref="I412:J416"/>
    <mergeCell ref="K412:O412"/>
    <mergeCell ref="P412:R412"/>
    <mergeCell ref="K413:O413"/>
    <mergeCell ref="P413:R413"/>
    <mergeCell ref="K414:O414"/>
    <mergeCell ref="P414:R414"/>
    <mergeCell ref="K415:O415"/>
    <mergeCell ref="P415:R415"/>
    <mergeCell ref="K416:O416"/>
    <mergeCell ref="P416:R416"/>
    <mergeCell ref="A417:J417"/>
    <mergeCell ref="K417:O417"/>
    <mergeCell ref="P417:R417"/>
    <mergeCell ref="B418:D418"/>
    <mergeCell ref="E418:F418"/>
    <mergeCell ref="G418:H418"/>
    <mergeCell ref="I418:J418"/>
    <mergeCell ref="K418:O418"/>
    <mergeCell ref="P418:R418"/>
    <mergeCell ref="B419:D419"/>
    <mergeCell ref="E419:F419"/>
    <mergeCell ref="G419:H419"/>
    <mergeCell ref="I419:J419"/>
    <mergeCell ref="K419:O419"/>
    <mergeCell ref="P419:R419"/>
    <mergeCell ref="A420:B420"/>
    <mergeCell ref="C420:D420"/>
    <mergeCell ref="E420:F420"/>
    <mergeCell ref="G420:H420"/>
    <mergeCell ref="I420:J420"/>
    <mergeCell ref="K420:O420"/>
    <mergeCell ref="A421:J421"/>
    <mergeCell ref="K421:O421"/>
    <mergeCell ref="A422:B422"/>
    <mergeCell ref="C422:D422"/>
    <mergeCell ref="E422:F422"/>
    <mergeCell ref="G422:H422"/>
    <mergeCell ref="I422:J422"/>
    <mergeCell ref="K422:O422"/>
    <mergeCell ref="A423:J423"/>
    <mergeCell ref="K423:O423"/>
    <mergeCell ref="A424:J424"/>
    <mergeCell ref="K424:O424"/>
    <mergeCell ref="A425:B425"/>
    <mergeCell ref="C425:D425"/>
    <mergeCell ref="E425:F425"/>
    <mergeCell ref="G425:H425"/>
    <mergeCell ref="I425:J425"/>
    <mergeCell ref="K425:O425"/>
    <mergeCell ref="A426:B434"/>
    <mergeCell ref="C426:D434"/>
    <mergeCell ref="E426:F434"/>
    <mergeCell ref="G426:H434"/>
    <mergeCell ref="I426:J434"/>
    <mergeCell ref="K426:O426"/>
    <mergeCell ref="K427:O427"/>
    <mergeCell ref="K428:O428"/>
    <mergeCell ref="K429:O429"/>
    <mergeCell ref="K430:O430"/>
    <mergeCell ref="K431:O431"/>
    <mergeCell ref="K432:O432"/>
    <mergeCell ref="K433:O433"/>
    <mergeCell ref="K434:O434"/>
    <mergeCell ref="A435:J435"/>
    <mergeCell ref="K435:O435"/>
    <mergeCell ref="A436:B436"/>
    <mergeCell ref="C436:D436"/>
    <mergeCell ref="E436:F436"/>
    <mergeCell ref="G436:H436"/>
    <mergeCell ref="I436:J436"/>
    <mergeCell ref="K436:O436"/>
    <mergeCell ref="A437:B437"/>
    <mergeCell ref="C437:D437"/>
    <mergeCell ref="E437:F437"/>
    <mergeCell ref="G437:H437"/>
    <mergeCell ref="I437:J437"/>
    <mergeCell ref="K437:O437"/>
    <mergeCell ref="A438:J438"/>
    <mergeCell ref="K438:O438"/>
    <mergeCell ref="A439:B439"/>
    <mergeCell ref="C439:D439"/>
    <mergeCell ref="E439:F439"/>
    <mergeCell ref="G439:H439"/>
    <mergeCell ref="I439:J439"/>
    <mergeCell ref="K439:O439"/>
    <mergeCell ref="A440:B440"/>
    <mergeCell ref="C440:D440"/>
    <mergeCell ref="E440:F440"/>
    <mergeCell ref="G440:H440"/>
    <mergeCell ref="I440:J440"/>
    <mergeCell ref="K440:O440"/>
    <mergeCell ref="A441:J441"/>
    <mergeCell ref="K441:O441"/>
    <mergeCell ref="A442:B442"/>
    <mergeCell ref="C442:D442"/>
    <mergeCell ref="E442:F442"/>
    <mergeCell ref="G442:H442"/>
    <mergeCell ref="I442:J442"/>
    <mergeCell ref="K442:O442"/>
    <mergeCell ref="A443:J443"/>
    <mergeCell ref="K443:O443"/>
    <mergeCell ref="A444:J444"/>
    <mergeCell ref="K444:O444"/>
    <mergeCell ref="A445:B445"/>
    <mergeCell ref="C445:D445"/>
    <mergeCell ref="E445:F445"/>
    <mergeCell ref="G445:H445"/>
    <mergeCell ref="I445:J445"/>
    <mergeCell ref="K445:O445"/>
    <mergeCell ref="A446:B446"/>
    <mergeCell ref="C446:D446"/>
    <mergeCell ref="E446:F446"/>
    <mergeCell ref="G446:H446"/>
    <mergeCell ref="I446:J446"/>
    <mergeCell ref="K446:O446"/>
    <mergeCell ref="A447:J447"/>
    <mergeCell ref="K447:O447"/>
    <mergeCell ref="A448:B448"/>
    <mergeCell ref="C448:D448"/>
    <mergeCell ref="E448:F448"/>
    <mergeCell ref="G448:H448"/>
    <mergeCell ref="I448:J448"/>
    <mergeCell ref="K448:O448"/>
    <mergeCell ref="A449:B449"/>
    <mergeCell ref="C449:D449"/>
    <mergeCell ref="E449:F449"/>
    <mergeCell ref="G449:H449"/>
    <mergeCell ref="I449:J449"/>
    <mergeCell ref="K449:O449"/>
    <mergeCell ref="A450:B450"/>
    <mergeCell ref="C450:D450"/>
    <mergeCell ref="E450:F450"/>
    <mergeCell ref="G450:H450"/>
    <mergeCell ref="I450:J450"/>
    <mergeCell ref="K450:O453"/>
    <mergeCell ref="A451:B451"/>
    <mergeCell ref="C451:D451"/>
    <mergeCell ref="E451:F451"/>
    <mergeCell ref="G451:H451"/>
    <mergeCell ref="I451:J451"/>
    <mergeCell ref="A452:B452"/>
    <mergeCell ref="C452:D452"/>
    <mergeCell ref="E452:F452"/>
    <mergeCell ref="G452:H452"/>
    <mergeCell ref="I452:J452"/>
    <mergeCell ref="A453:B453"/>
    <mergeCell ref="C453:D453"/>
    <mergeCell ref="E453:F453"/>
    <mergeCell ref="G453:H453"/>
    <mergeCell ref="I453:J453"/>
    <mergeCell ref="A454:J454"/>
    <mergeCell ref="K454:O454"/>
    <mergeCell ref="A455:B455"/>
    <mergeCell ref="C455:D455"/>
    <mergeCell ref="E455:F455"/>
    <mergeCell ref="G455:H455"/>
    <mergeCell ref="I455:J455"/>
    <mergeCell ref="K455:O455"/>
    <mergeCell ref="A456:B456"/>
    <mergeCell ref="C456:D456"/>
    <mergeCell ref="E456:F456"/>
    <mergeCell ref="G456:H456"/>
    <mergeCell ref="I456:J456"/>
    <mergeCell ref="K456:O464"/>
    <mergeCell ref="A457:B457"/>
    <mergeCell ref="C457:D457"/>
    <mergeCell ref="E457:F457"/>
    <mergeCell ref="G457:H457"/>
    <mergeCell ref="I457:J457"/>
    <mergeCell ref="A458:B458"/>
    <mergeCell ref="C458:D458"/>
    <mergeCell ref="E458:F458"/>
    <mergeCell ref="G458:H458"/>
    <mergeCell ref="I458:J458"/>
    <mergeCell ref="A459:B459"/>
    <mergeCell ref="C459:D459"/>
    <mergeCell ref="E459:F459"/>
    <mergeCell ref="G459:H459"/>
    <mergeCell ref="I459:J459"/>
    <mergeCell ref="A460:B460"/>
    <mergeCell ref="C460:D460"/>
    <mergeCell ref="E460:F460"/>
    <mergeCell ref="G460:H460"/>
    <mergeCell ref="I460:J460"/>
    <mergeCell ref="A461:B461"/>
    <mergeCell ref="C461:D461"/>
    <mergeCell ref="E461:F461"/>
    <mergeCell ref="G461:H461"/>
    <mergeCell ref="I461:J461"/>
    <mergeCell ref="A462:B462"/>
    <mergeCell ref="C462:D462"/>
    <mergeCell ref="E462:F462"/>
    <mergeCell ref="G462:H462"/>
    <mergeCell ref="I462:J462"/>
    <mergeCell ref="A463:B463"/>
    <mergeCell ref="C463:D463"/>
    <mergeCell ref="E463:F463"/>
    <mergeCell ref="G463:H463"/>
    <mergeCell ref="I463:J463"/>
    <mergeCell ref="A464:B464"/>
    <mergeCell ref="C464:D464"/>
    <mergeCell ref="E464:F464"/>
    <mergeCell ref="G464:H464"/>
    <mergeCell ref="I464:J464"/>
    <mergeCell ref="A465:J465"/>
    <mergeCell ref="K465:O465"/>
    <mergeCell ref="A466:B466"/>
    <mergeCell ref="C466:D466"/>
    <mergeCell ref="E466:F466"/>
    <mergeCell ref="G466:H466"/>
    <mergeCell ref="I466:J466"/>
    <mergeCell ref="K466:O466"/>
    <mergeCell ref="A467:B467"/>
    <mergeCell ref="C467:D467"/>
    <mergeCell ref="E467:F467"/>
    <mergeCell ref="G467:H467"/>
    <mergeCell ref="I467:J467"/>
    <mergeCell ref="K467:O467"/>
    <mergeCell ref="A468:B468"/>
    <mergeCell ref="C468:D468"/>
    <mergeCell ref="E468:F468"/>
    <mergeCell ref="G468:H468"/>
    <mergeCell ref="I468:J468"/>
    <mergeCell ref="K468:O468"/>
    <mergeCell ref="A469:J469"/>
    <mergeCell ref="K469:O469"/>
    <mergeCell ref="A470:B470"/>
    <mergeCell ref="C470:D470"/>
    <mergeCell ref="E470:F470"/>
    <mergeCell ref="G470:H470"/>
    <mergeCell ref="I470:J470"/>
    <mergeCell ref="K470:O470"/>
    <mergeCell ref="A471:B471"/>
    <mergeCell ref="C471:D471"/>
    <mergeCell ref="E471:F471"/>
    <mergeCell ref="G471:H471"/>
    <mergeCell ref="I471:J471"/>
    <mergeCell ref="K471:O471"/>
    <mergeCell ref="A472:B472"/>
    <mergeCell ref="C472:D472"/>
    <mergeCell ref="E472:F472"/>
    <mergeCell ref="G472:H472"/>
    <mergeCell ref="I472:J472"/>
    <mergeCell ref="K472:O472"/>
    <mergeCell ref="A473:B473"/>
    <mergeCell ref="C473:D473"/>
    <mergeCell ref="E473:F473"/>
    <mergeCell ref="G473:H473"/>
    <mergeCell ref="I473:J473"/>
    <mergeCell ref="K473:O473"/>
    <mergeCell ref="A474:B474"/>
    <mergeCell ref="C474:D474"/>
    <mergeCell ref="E474:F474"/>
    <mergeCell ref="G474:H474"/>
    <mergeCell ref="I474:J474"/>
    <mergeCell ref="K474:O474"/>
    <mergeCell ref="A475:B475"/>
    <mergeCell ref="C475:D475"/>
    <mergeCell ref="E475:F475"/>
    <mergeCell ref="G475:H475"/>
    <mergeCell ref="I475:J475"/>
    <mergeCell ref="K475:O475"/>
    <mergeCell ref="A476:B476"/>
    <mergeCell ref="C476:D476"/>
    <mergeCell ref="E476:F476"/>
    <mergeCell ref="G476:H476"/>
    <mergeCell ref="I476:J476"/>
    <mergeCell ref="K476:O476"/>
    <mergeCell ref="A477:B477"/>
    <mergeCell ref="C477:D477"/>
    <mergeCell ref="E477:F477"/>
    <mergeCell ref="G477:H477"/>
    <mergeCell ref="I477:J477"/>
    <mergeCell ref="K477:O477"/>
    <mergeCell ref="A478:B478"/>
    <mergeCell ref="C478:D478"/>
    <mergeCell ref="E478:F478"/>
    <mergeCell ref="G478:H478"/>
    <mergeCell ref="I478:J478"/>
    <mergeCell ref="K478:O478"/>
    <mergeCell ref="A479:B479"/>
    <mergeCell ref="C479:D479"/>
    <mergeCell ref="E479:F479"/>
    <mergeCell ref="G479:H479"/>
    <mergeCell ref="I479:J479"/>
    <mergeCell ref="K479:O479"/>
    <mergeCell ref="A480:B480"/>
    <mergeCell ref="C480:D480"/>
    <mergeCell ref="E480:F480"/>
    <mergeCell ref="G480:H480"/>
    <mergeCell ref="I480:J480"/>
    <mergeCell ref="K480:O480"/>
    <mergeCell ref="A481:B481"/>
    <mergeCell ref="C481:D481"/>
    <mergeCell ref="E481:F481"/>
    <mergeCell ref="G481:H481"/>
    <mergeCell ref="I481:J481"/>
    <mergeCell ref="K481:O481"/>
    <mergeCell ref="A482:B482"/>
    <mergeCell ref="C482:D482"/>
    <mergeCell ref="E482:F482"/>
    <mergeCell ref="G482:H482"/>
    <mergeCell ref="I482:J482"/>
    <mergeCell ref="K482:O482"/>
    <mergeCell ref="A483:B483"/>
    <mergeCell ref="C483:D483"/>
    <mergeCell ref="E483:F483"/>
    <mergeCell ref="G483:H483"/>
    <mergeCell ref="I483:J483"/>
    <mergeCell ref="K483:O483"/>
    <mergeCell ref="A484:B484"/>
    <mergeCell ref="C484:D484"/>
    <mergeCell ref="E484:F484"/>
    <mergeCell ref="G484:H484"/>
    <mergeCell ref="I484:J484"/>
    <mergeCell ref="K484:O484"/>
    <mergeCell ref="A485:B485"/>
    <mergeCell ref="C485:D485"/>
    <mergeCell ref="E485:F485"/>
    <mergeCell ref="G485:H485"/>
    <mergeCell ref="I485:J485"/>
    <mergeCell ref="K485:O485"/>
    <mergeCell ref="A486:B486"/>
    <mergeCell ref="C486:D486"/>
    <mergeCell ref="E486:F486"/>
    <mergeCell ref="G486:H486"/>
    <mergeCell ref="I486:J486"/>
    <mergeCell ref="K486:O486"/>
    <mergeCell ref="A487:B487"/>
    <mergeCell ref="C487:D487"/>
    <mergeCell ref="E487:F487"/>
    <mergeCell ref="G487:H487"/>
    <mergeCell ref="I487:J487"/>
    <mergeCell ref="K487:O487"/>
    <mergeCell ref="A488:B488"/>
    <mergeCell ref="C488:D488"/>
    <mergeCell ref="E488:F488"/>
    <mergeCell ref="G488:H488"/>
    <mergeCell ref="I488:J488"/>
    <mergeCell ref="K488:O488"/>
    <mergeCell ref="A489:B489"/>
    <mergeCell ref="C489:D489"/>
    <mergeCell ref="E489:F489"/>
    <mergeCell ref="G489:H489"/>
    <mergeCell ref="I489:J489"/>
    <mergeCell ref="K489:O489"/>
    <mergeCell ref="I496:J496"/>
    <mergeCell ref="A490:B490"/>
    <mergeCell ref="C490:D490"/>
    <mergeCell ref="E490:F490"/>
    <mergeCell ref="G490:H490"/>
    <mergeCell ref="I490:J490"/>
    <mergeCell ref="K490:O490"/>
    <mergeCell ref="A491:B491"/>
    <mergeCell ref="C491:D491"/>
    <mergeCell ref="E491:F491"/>
    <mergeCell ref="G491:H491"/>
    <mergeCell ref="I491:J491"/>
    <mergeCell ref="K491:O491"/>
    <mergeCell ref="A492:B492"/>
    <mergeCell ref="C492:D492"/>
    <mergeCell ref="E492:F492"/>
    <mergeCell ref="G492:H492"/>
    <mergeCell ref="I492:J492"/>
    <mergeCell ref="K492:O492"/>
    <mergeCell ref="A497:J497"/>
    <mergeCell ref="K497:O497"/>
    <mergeCell ref="A498:J498"/>
    <mergeCell ref="K498:O498"/>
    <mergeCell ref="A499:J499"/>
    <mergeCell ref="K499:O499"/>
    <mergeCell ref="A500:J500"/>
    <mergeCell ref="K500:O500"/>
    <mergeCell ref="A501:J501"/>
    <mergeCell ref="K501:O501"/>
    <mergeCell ref="A502:J502"/>
    <mergeCell ref="K502:O502"/>
    <mergeCell ref="A503:J503"/>
    <mergeCell ref="K503:O503"/>
    <mergeCell ref="A493:J493"/>
    <mergeCell ref="K493:O493"/>
    <mergeCell ref="A494:B494"/>
    <mergeCell ref="C494:D494"/>
    <mergeCell ref="E494:F494"/>
    <mergeCell ref="G494:H494"/>
    <mergeCell ref="I494:J494"/>
    <mergeCell ref="K494:O494"/>
    <mergeCell ref="A495:B495"/>
    <mergeCell ref="C495:D495"/>
    <mergeCell ref="E495:F495"/>
    <mergeCell ref="G495:H495"/>
    <mergeCell ref="I495:J495"/>
    <mergeCell ref="K495:O496"/>
    <mergeCell ref="A496:B496"/>
    <mergeCell ref="C496:D496"/>
    <mergeCell ref="E496:F496"/>
    <mergeCell ref="G496:H496"/>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4"/>
  <sheetViews>
    <sheetView showGridLines="0" workbookViewId="0"/>
  </sheetViews>
  <sheetFormatPr baseColWidth="10" defaultColWidth="8.59765625" defaultRowHeight="13" customHeight="1" x14ac:dyDescent="0.15"/>
  <cols>
    <col min="1" max="1" width="8.59765625" style="5" customWidth="1"/>
    <col min="2" max="2" width="46.796875" style="5" customWidth="1"/>
    <col min="3" max="3" width="22" style="5" customWidth="1"/>
    <col min="4" max="4" width="67" style="5" customWidth="1"/>
    <col min="5" max="5" width="14.796875" style="5" customWidth="1"/>
    <col min="6" max="6" width="19.3984375" style="5" customWidth="1"/>
    <col min="7" max="7" width="68.3984375" style="5" customWidth="1"/>
    <col min="8" max="9" width="8.59765625" style="5" customWidth="1"/>
    <col min="10" max="16384" width="8.59765625" style="5"/>
  </cols>
  <sheetData>
    <row r="1" spans="1:8" ht="13.75" customHeight="1" x14ac:dyDescent="0.15">
      <c r="A1" s="15" t="s">
        <v>303</v>
      </c>
      <c r="B1" s="16" t="s">
        <v>304</v>
      </c>
      <c r="C1" s="16" t="s">
        <v>305</v>
      </c>
      <c r="D1" s="16" t="s">
        <v>306</v>
      </c>
      <c r="E1" s="16" t="s">
        <v>307</v>
      </c>
      <c r="F1" s="16" t="s">
        <v>308</v>
      </c>
      <c r="G1" s="17" t="s">
        <v>309</v>
      </c>
      <c r="H1" s="18"/>
    </row>
    <row r="2" spans="1:8" ht="13.75" customHeight="1" x14ac:dyDescent="0.15">
      <c r="A2" s="19" t="s">
        <v>310</v>
      </c>
      <c r="B2" s="20" t="s">
        <v>311</v>
      </c>
      <c r="C2" s="20" t="s">
        <v>312</v>
      </c>
      <c r="D2" s="20" t="s">
        <v>313</v>
      </c>
      <c r="E2" s="21">
        <v>2499234</v>
      </c>
      <c r="F2" s="21">
        <f t="shared" ref="F2:F7" si="0">(CEILING(E2:E2,1000))*1.33</f>
        <v>3325000</v>
      </c>
      <c r="G2" s="22"/>
      <c r="H2" s="18"/>
    </row>
    <row r="3" spans="1:8" ht="13.75" customHeight="1" x14ac:dyDescent="0.15">
      <c r="A3" s="23" t="s">
        <v>314</v>
      </c>
      <c r="B3" s="24" t="s">
        <v>311</v>
      </c>
      <c r="C3" s="24" t="s">
        <v>312</v>
      </c>
      <c r="D3" s="24" t="s">
        <v>315</v>
      </c>
      <c r="E3" s="25">
        <v>34272</v>
      </c>
      <c r="F3" s="25">
        <f t="shared" si="0"/>
        <v>46550</v>
      </c>
      <c r="G3" s="26"/>
      <c r="H3" s="18"/>
    </row>
    <row r="4" spans="1:8" ht="13.75" customHeight="1" x14ac:dyDescent="0.15">
      <c r="A4" s="19" t="s">
        <v>316</v>
      </c>
      <c r="B4" s="20" t="s">
        <v>311</v>
      </c>
      <c r="C4" s="20" t="s">
        <v>312</v>
      </c>
      <c r="D4" s="20" t="s">
        <v>317</v>
      </c>
      <c r="E4" s="21">
        <v>712840</v>
      </c>
      <c r="F4" s="21">
        <f t="shared" si="0"/>
        <v>948290</v>
      </c>
      <c r="G4" s="27" t="s">
        <v>318</v>
      </c>
      <c r="H4" s="18"/>
    </row>
    <row r="5" spans="1:8" ht="13.75" customHeight="1" x14ac:dyDescent="0.15">
      <c r="A5" s="23" t="s">
        <v>319</v>
      </c>
      <c r="B5" s="24" t="s">
        <v>311</v>
      </c>
      <c r="C5" s="24" t="s">
        <v>312</v>
      </c>
      <c r="D5" s="24" t="s">
        <v>320</v>
      </c>
      <c r="E5" s="25">
        <v>568820</v>
      </c>
      <c r="F5" s="25">
        <f t="shared" si="0"/>
        <v>756770</v>
      </c>
      <c r="G5" s="26"/>
      <c r="H5" s="18"/>
    </row>
    <row r="6" spans="1:8" ht="13.75" customHeight="1" x14ac:dyDescent="0.15">
      <c r="A6" s="19" t="s">
        <v>321</v>
      </c>
      <c r="B6" s="20" t="s">
        <v>311</v>
      </c>
      <c r="C6" s="20" t="s">
        <v>312</v>
      </c>
      <c r="D6" s="20" t="s">
        <v>322</v>
      </c>
      <c r="E6" s="21">
        <v>1644170</v>
      </c>
      <c r="F6" s="21">
        <f t="shared" si="0"/>
        <v>2187850</v>
      </c>
      <c r="G6" s="22"/>
      <c r="H6" s="18"/>
    </row>
    <row r="7" spans="1:8" ht="13.75" customHeight="1" x14ac:dyDescent="0.15">
      <c r="A7" s="23" t="s">
        <v>323</v>
      </c>
      <c r="B7" s="24" t="s">
        <v>311</v>
      </c>
      <c r="C7" s="24" t="s">
        <v>312</v>
      </c>
      <c r="D7" s="24" t="s">
        <v>324</v>
      </c>
      <c r="E7" s="25">
        <v>975038</v>
      </c>
      <c r="F7" s="25">
        <f t="shared" si="0"/>
        <v>1298080</v>
      </c>
      <c r="G7" s="26"/>
      <c r="H7" s="18"/>
    </row>
    <row r="8" spans="1:8" ht="13.75" customHeight="1" x14ac:dyDescent="0.15">
      <c r="A8" s="19" t="s">
        <v>325</v>
      </c>
      <c r="B8" s="20" t="s">
        <v>311</v>
      </c>
      <c r="C8" s="20" t="s">
        <v>312</v>
      </c>
      <c r="D8" s="20" t="s">
        <v>326</v>
      </c>
      <c r="E8" s="21">
        <v>433541</v>
      </c>
      <c r="F8" s="21">
        <v>433541</v>
      </c>
      <c r="G8" s="22"/>
      <c r="H8" s="18"/>
    </row>
    <row r="9" spans="1:8" ht="13.75" customHeight="1" x14ac:dyDescent="0.15">
      <c r="A9" s="23" t="s">
        <v>327</v>
      </c>
      <c r="B9" s="24" t="s">
        <v>311</v>
      </c>
      <c r="C9" s="24" t="s">
        <v>312</v>
      </c>
      <c r="D9" s="24" t="s">
        <v>328</v>
      </c>
      <c r="E9" s="25">
        <v>433541</v>
      </c>
      <c r="F9" s="25">
        <v>433541</v>
      </c>
      <c r="G9" s="26"/>
      <c r="H9" s="18"/>
    </row>
    <row r="10" spans="1:8" ht="13.75" customHeight="1" x14ac:dyDescent="0.15">
      <c r="A10" s="19" t="s">
        <v>329</v>
      </c>
      <c r="B10" s="20" t="s">
        <v>330</v>
      </c>
      <c r="C10" s="20" t="s">
        <v>312</v>
      </c>
      <c r="D10" s="20" t="s">
        <v>331</v>
      </c>
      <c r="E10" s="21">
        <v>623000</v>
      </c>
      <c r="F10" s="21">
        <f t="shared" ref="F10:F39" si="1">(CEILING(E10:E10,1000))*1.33</f>
        <v>828590</v>
      </c>
      <c r="G10" s="22"/>
      <c r="H10" s="18"/>
    </row>
    <row r="11" spans="1:8" ht="13.75" customHeight="1" x14ac:dyDescent="0.15">
      <c r="A11" s="23" t="s">
        <v>332</v>
      </c>
      <c r="B11" s="24" t="s">
        <v>333</v>
      </c>
      <c r="C11" s="24" t="s">
        <v>312</v>
      </c>
      <c r="D11" s="24" t="s">
        <v>334</v>
      </c>
      <c r="E11" s="25">
        <v>8159982</v>
      </c>
      <c r="F11" s="25">
        <f t="shared" si="1"/>
        <v>10852800</v>
      </c>
      <c r="G11" s="28" t="s">
        <v>335</v>
      </c>
      <c r="H11" s="18"/>
    </row>
    <row r="12" spans="1:8" ht="13.75" customHeight="1" x14ac:dyDescent="0.15">
      <c r="A12" s="19" t="s">
        <v>336</v>
      </c>
      <c r="B12" s="20" t="s">
        <v>333</v>
      </c>
      <c r="C12" s="20" t="s">
        <v>312</v>
      </c>
      <c r="D12" s="20" t="s">
        <v>337</v>
      </c>
      <c r="E12" s="21">
        <v>1391000</v>
      </c>
      <c r="F12" s="21">
        <f t="shared" si="1"/>
        <v>1850030</v>
      </c>
      <c r="G12" s="27" t="s">
        <v>338</v>
      </c>
      <c r="H12" s="18"/>
    </row>
    <row r="13" spans="1:8" ht="13.75" customHeight="1" x14ac:dyDescent="0.15">
      <c r="A13" s="23" t="s">
        <v>339</v>
      </c>
      <c r="B13" s="24" t="s">
        <v>340</v>
      </c>
      <c r="C13" s="24" t="s">
        <v>312</v>
      </c>
      <c r="D13" s="24" t="s">
        <v>341</v>
      </c>
      <c r="E13" s="25">
        <v>519078</v>
      </c>
      <c r="F13" s="25">
        <f t="shared" si="1"/>
        <v>691600</v>
      </c>
      <c r="G13" s="26"/>
      <c r="H13" s="18"/>
    </row>
    <row r="14" spans="1:8" ht="13.75" customHeight="1" x14ac:dyDescent="0.15">
      <c r="A14" s="19" t="s">
        <v>342</v>
      </c>
      <c r="B14" s="20" t="s">
        <v>343</v>
      </c>
      <c r="C14" s="20" t="s">
        <v>312</v>
      </c>
      <c r="D14" s="20" t="s">
        <v>344</v>
      </c>
      <c r="E14" s="21">
        <v>969000</v>
      </c>
      <c r="F14" s="21">
        <f t="shared" si="1"/>
        <v>1288770</v>
      </c>
      <c r="G14" s="22"/>
      <c r="H14" s="18"/>
    </row>
    <row r="15" spans="1:8" ht="13.75" customHeight="1" x14ac:dyDescent="0.15">
      <c r="A15" s="23" t="s">
        <v>345</v>
      </c>
      <c r="B15" s="24" t="s">
        <v>343</v>
      </c>
      <c r="C15" s="24" t="s">
        <v>312</v>
      </c>
      <c r="D15" s="24" t="s">
        <v>346</v>
      </c>
      <c r="E15" s="25">
        <v>1673019</v>
      </c>
      <c r="F15" s="25">
        <f t="shared" si="1"/>
        <v>2226420</v>
      </c>
      <c r="G15" s="26"/>
      <c r="H15" s="18"/>
    </row>
    <row r="16" spans="1:8" ht="13.75" customHeight="1" x14ac:dyDescent="0.15">
      <c r="A16" s="19" t="s">
        <v>347</v>
      </c>
      <c r="B16" s="20" t="s">
        <v>343</v>
      </c>
      <c r="C16" s="20" t="s">
        <v>312</v>
      </c>
      <c r="D16" s="20" t="s">
        <v>348</v>
      </c>
      <c r="E16" s="21">
        <v>4625000</v>
      </c>
      <c r="F16" s="21">
        <f t="shared" si="1"/>
        <v>6151250</v>
      </c>
      <c r="G16" s="22"/>
      <c r="H16" s="18"/>
    </row>
    <row r="17" spans="1:8" ht="13.75" customHeight="1" x14ac:dyDescent="0.15">
      <c r="A17" s="23" t="s">
        <v>349</v>
      </c>
      <c r="B17" s="24" t="s">
        <v>350</v>
      </c>
      <c r="C17" s="24" t="s">
        <v>312</v>
      </c>
      <c r="D17" s="24" t="s">
        <v>341</v>
      </c>
      <c r="E17" s="25">
        <v>511849</v>
      </c>
      <c r="F17" s="25">
        <f t="shared" si="1"/>
        <v>680960</v>
      </c>
      <c r="G17" s="26"/>
      <c r="H17" s="18"/>
    </row>
    <row r="18" spans="1:8" ht="13.75" customHeight="1" x14ac:dyDescent="0.15">
      <c r="A18" s="19" t="s">
        <v>351</v>
      </c>
      <c r="B18" s="20" t="s">
        <v>352</v>
      </c>
      <c r="C18" s="20" t="s">
        <v>312</v>
      </c>
      <c r="D18" s="20" t="s">
        <v>353</v>
      </c>
      <c r="E18" s="21">
        <v>1080098</v>
      </c>
      <c r="F18" s="21">
        <f t="shared" si="1"/>
        <v>1437730</v>
      </c>
      <c r="G18" s="22"/>
      <c r="H18" s="18"/>
    </row>
    <row r="19" spans="1:8" ht="13.75" customHeight="1" x14ac:dyDescent="0.15">
      <c r="A19" s="23" t="s">
        <v>354</v>
      </c>
      <c r="B19" s="24" t="s">
        <v>352</v>
      </c>
      <c r="C19" s="24" t="s">
        <v>312</v>
      </c>
      <c r="D19" s="24" t="s">
        <v>355</v>
      </c>
      <c r="E19" s="25">
        <v>204564</v>
      </c>
      <c r="F19" s="25">
        <f t="shared" si="1"/>
        <v>272650</v>
      </c>
      <c r="G19" s="26"/>
      <c r="H19" s="18"/>
    </row>
    <row r="20" spans="1:8" ht="13.75" customHeight="1" x14ac:dyDescent="0.15">
      <c r="A20" s="19" t="s">
        <v>356</v>
      </c>
      <c r="B20" s="20" t="s">
        <v>357</v>
      </c>
      <c r="C20" s="20" t="s">
        <v>312</v>
      </c>
      <c r="D20" s="20" t="s">
        <v>341</v>
      </c>
      <c r="E20" s="21">
        <v>624750</v>
      </c>
      <c r="F20" s="21">
        <f t="shared" si="1"/>
        <v>831250</v>
      </c>
      <c r="G20" s="22"/>
      <c r="H20" s="18"/>
    </row>
    <row r="21" spans="1:8" ht="13.75" customHeight="1" x14ac:dyDescent="0.15">
      <c r="A21" s="23" t="s">
        <v>358</v>
      </c>
      <c r="B21" s="24" t="s">
        <v>357</v>
      </c>
      <c r="C21" s="24" t="s">
        <v>312</v>
      </c>
      <c r="D21" s="24" t="s">
        <v>320</v>
      </c>
      <c r="E21" s="25">
        <v>92000</v>
      </c>
      <c r="F21" s="25">
        <f t="shared" si="1"/>
        <v>122360</v>
      </c>
      <c r="G21" s="26"/>
      <c r="H21" s="18"/>
    </row>
    <row r="22" spans="1:8" ht="13.75" customHeight="1" x14ac:dyDescent="0.15">
      <c r="A22" s="19" t="s">
        <v>359</v>
      </c>
      <c r="B22" s="20" t="s">
        <v>360</v>
      </c>
      <c r="C22" s="20" t="s">
        <v>312</v>
      </c>
      <c r="D22" s="20" t="s">
        <v>361</v>
      </c>
      <c r="E22" s="21">
        <v>360000</v>
      </c>
      <c r="F22" s="21">
        <f t="shared" si="1"/>
        <v>478800</v>
      </c>
      <c r="G22" s="27" t="s">
        <v>362</v>
      </c>
      <c r="H22" s="18"/>
    </row>
    <row r="23" spans="1:8" ht="13.75" customHeight="1" x14ac:dyDescent="0.15">
      <c r="A23" s="23" t="s">
        <v>363</v>
      </c>
      <c r="B23" s="24" t="s">
        <v>360</v>
      </c>
      <c r="C23" s="24" t="s">
        <v>312</v>
      </c>
      <c r="D23" s="24" t="s">
        <v>364</v>
      </c>
      <c r="E23" s="25">
        <v>329000</v>
      </c>
      <c r="F23" s="25">
        <f t="shared" si="1"/>
        <v>437570</v>
      </c>
      <c r="G23" s="26"/>
      <c r="H23" s="18"/>
    </row>
    <row r="24" spans="1:8" ht="13.75" customHeight="1" x14ac:dyDescent="0.15">
      <c r="A24" s="19" t="s">
        <v>365</v>
      </c>
      <c r="B24" s="20" t="s">
        <v>360</v>
      </c>
      <c r="C24" s="20" t="s">
        <v>312</v>
      </c>
      <c r="D24" s="20" t="s">
        <v>366</v>
      </c>
      <c r="E24" s="21">
        <v>89000</v>
      </c>
      <c r="F24" s="21">
        <f t="shared" si="1"/>
        <v>118370</v>
      </c>
      <c r="G24" s="22"/>
      <c r="H24" s="18"/>
    </row>
    <row r="25" spans="1:8" ht="13.75" customHeight="1" x14ac:dyDescent="0.15">
      <c r="A25" s="23" t="s">
        <v>367</v>
      </c>
      <c r="B25" s="24" t="s">
        <v>360</v>
      </c>
      <c r="C25" s="24" t="s">
        <v>312</v>
      </c>
      <c r="D25" s="24" t="s">
        <v>368</v>
      </c>
      <c r="E25" s="25">
        <v>124000</v>
      </c>
      <c r="F25" s="25">
        <f t="shared" si="1"/>
        <v>164920</v>
      </c>
      <c r="G25" s="26"/>
      <c r="H25" s="18"/>
    </row>
    <row r="26" spans="1:8" ht="13.75" customHeight="1" x14ac:dyDescent="0.15">
      <c r="A26" s="19" t="s">
        <v>369</v>
      </c>
      <c r="B26" s="20" t="s">
        <v>360</v>
      </c>
      <c r="C26" s="20" t="s">
        <v>312</v>
      </c>
      <c r="D26" s="20" t="s">
        <v>370</v>
      </c>
      <c r="E26" s="21">
        <v>500000</v>
      </c>
      <c r="F26" s="21">
        <f t="shared" si="1"/>
        <v>665000</v>
      </c>
      <c r="G26" s="22"/>
      <c r="H26" s="18"/>
    </row>
    <row r="27" spans="1:8" ht="13.75" customHeight="1" x14ac:dyDescent="0.15">
      <c r="A27" s="23" t="s">
        <v>371</v>
      </c>
      <c r="B27" s="24" t="s">
        <v>360</v>
      </c>
      <c r="C27" s="24" t="s">
        <v>312</v>
      </c>
      <c r="D27" s="24" t="s">
        <v>372</v>
      </c>
      <c r="E27" s="25">
        <v>34000</v>
      </c>
      <c r="F27" s="25">
        <f t="shared" si="1"/>
        <v>45220</v>
      </c>
      <c r="G27" s="26"/>
      <c r="H27" s="18"/>
    </row>
    <row r="28" spans="1:8" ht="13.75" customHeight="1" x14ac:dyDescent="0.15">
      <c r="A28" s="19" t="s">
        <v>373</v>
      </c>
      <c r="B28" s="20" t="s">
        <v>360</v>
      </c>
      <c r="C28" s="20" t="s">
        <v>312</v>
      </c>
      <c r="D28" s="20" t="s">
        <v>374</v>
      </c>
      <c r="E28" s="21">
        <v>36000</v>
      </c>
      <c r="F28" s="21">
        <f t="shared" si="1"/>
        <v>47880</v>
      </c>
      <c r="G28" s="22"/>
      <c r="H28" s="18"/>
    </row>
    <row r="29" spans="1:8" ht="13.75" customHeight="1" x14ac:dyDescent="0.15">
      <c r="A29" s="23" t="s">
        <v>375</v>
      </c>
      <c r="B29" s="24" t="s">
        <v>360</v>
      </c>
      <c r="C29" s="24" t="s">
        <v>312</v>
      </c>
      <c r="D29" s="24" t="s">
        <v>376</v>
      </c>
      <c r="E29" s="25">
        <v>57000</v>
      </c>
      <c r="F29" s="25">
        <f t="shared" si="1"/>
        <v>75810</v>
      </c>
      <c r="G29" s="26"/>
      <c r="H29" s="18"/>
    </row>
    <row r="30" spans="1:8" ht="13.75" customHeight="1" x14ac:dyDescent="0.15">
      <c r="A30" s="19" t="s">
        <v>377</v>
      </c>
      <c r="B30" s="20" t="s">
        <v>360</v>
      </c>
      <c r="C30" s="20" t="s">
        <v>312</v>
      </c>
      <c r="D30" s="20" t="s">
        <v>378</v>
      </c>
      <c r="E30" s="21">
        <v>60000</v>
      </c>
      <c r="F30" s="21">
        <f t="shared" si="1"/>
        <v>79800</v>
      </c>
      <c r="G30" s="22"/>
      <c r="H30" s="18"/>
    </row>
    <row r="31" spans="1:8" ht="13.75" customHeight="1" x14ac:dyDescent="0.15">
      <c r="A31" s="23" t="s">
        <v>379</v>
      </c>
      <c r="B31" s="24" t="s">
        <v>360</v>
      </c>
      <c r="C31" s="24" t="s">
        <v>312</v>
      </c>
      <c r="D31" s="24" t="s">
        <v>380</v>
      </c>
      <c r="E31" s="25">
        <v>37000</v>
      </c>
      <c r="F31" s="25">
        <f t="shared" si="1"/>
        <v>49210</v>
      </c>
      <c r="G31" s="26"/>
      <c r="H31" s="18"/>
    </row>
    <row r="32" spans="1:8" ht="13.75" customHeight="1" x14ac:dyDescent="0.15">
      <c r="A32" s="19" t="s">
        <v>381</v>
      </c>
      <c r="B32" s="20" t="s">
        <v>360</v>
      </c>
      <c r="C32" s="20" t="s">
        <v>312</v>
      </c>
      <c r="D32" s="20" t="s">
        <v>382</v>
      </c>
      <c r="E32" s="21">
        <v>24000</v>
      </c>
      <c r="F32" s="21">
        <f t="shared" si="1"/>
        <v>31920</v>
      </c>
      <c r="G32" s="22"/>
      <c r="H32" s="18"/>
    </row>
    <row r="33" spans="1:8" ht="13.75" customHeight="1" x14ac:dyDescent="0.15">
      <c r="A33" s="23" t="s">
        <v>383</v>
      </c>
      <c r="B33" s="24" t="s">
        <v>360</v>
      </c>
      <c r="C33" s="24" t="s">
        <v>312</v>
      </c>
      <c r="D33" s="24" t="s">
        <v>384</v>
      </c>
      <c r="E33" s="25">
        <v>38000</v>
      </c>
      <c r="F33" s="25">
        <f t="shared" si="1"/>
        <v>50540</v>
      </c>
      <c r="G33" s="26"/>
      <c r="H33" s="18"/>
    </row>
    <row r="34" spans="1:8" ht="13.75" customHeight="1" x14ac:dyDescent="0.15">
      <c r="A34" s="19" t="s">
        <v>385</v>
      </c>
      <c r="B34" s="20" t="s">
        <v>360</v>
      </c>
      <c r="C34" s="20" t="s">
        <v>312</v>
      </c>
      <c r="D34" s="20" t="s">
        <v>386</v>
      </c>
      <c r="E34" s="21">
        <v>100000</v>
      </c>
      <c r="F34" s="21">
        <f t="shared" si="1"/>
        <v>133000</v>
      </c>
      <c r="G34" s="22"/>
      <c r="H34" s="18"/>
    </row>
    <row r="35" spans="1:8" ht="13.75" customHeight="1" x14ac:dyDescent="0.15">
      <c r="A35" s="23" t="s">
        <v>387</v>
      </c>
      <c r="B35" s="24" t="s">
        <v>388</v>
      </c>
      <c r="C35" s="24" t="s">
        <v>312</v>
      </c>
      <c r="D35" s="24" t="s">
        <v>389</v>
      </c>
      <c r="E35" s="25">
        <v>95200</v>
      </c>
      <c r="F35" s="25">
        <f t="shared" si="1"/>
        <v>127680</v>
      </c>
      <c r="G35" s="26"/>
      <c r="H35" s="18"/>
    </row>
    <row r="36" spans="1:8" ht="13.75" customHeight="1" x14ac:dyDescent="0.15">
      <c r="A36" s="19" t="s">
        <v>390</v>
      </c>
      <c r="B36" s="20" t="s">
        <v>388</v>
      </c>
      <c r="C36" s="20" t="s">
        <v>312</v>
      </c>
      <c r="D36" s="20" t="s">
        <v>391</v>
      </c>
      <c r="E36" s="21">
        <v>590000</v>
      </c>
      <c r="F36" s="21">
        <f t="shared" si="1"/>
        <v>784700</v>
      </c>
      <c r="G36" s="22"/>
      <c r="H36" s="18"/>
    </row>
    <row r="37" spans="1:8" ht="13.75" customHeight="1" x14ac:dyDescent="0.15">
      <c r="A37" s="23" t="s">
        <v>392</v>
      </c>
      <c r="B37" s="24" t="s">
        <v>393</v>
      </c>
      <c r="C37" s="24" t="s">
        <v>312</v>
      </c>
      <c r="D37" s="24" t="s">
        <v>394</v>
      </c>
      <c r="E37" s="25">
        <v>960880</v>
      </c>
      <c r="F37" s="25">
        <f t="shared" si="1"/>
        <v>1278130</v>
      </c>
      <c r="G37" s="26"/>
      <c r="H37" s="18"/>
    </row>
    <row r="38" spans="1:8" ht="13.75" customHeight="1" x14ac:dyDescent="0.15">
      <c r="A38" s="19" t="s">
        <v>395</v>
      </c>
      <c r="B38" s="20" t="s">
        <v>393</v>
      </c>
      <c r="C38" s="20" t="s">
        <v>312</v>
      </c>
      <c r="D38" s="20" t="s">
        <v>396</v>
      </c>
      <c r="E38" s="21">
        <v>740440</v>
      </c>
      <c r="F38" s="21">
        <f t="shared" si="1"/>
        <v>985530</v>
      </c>
      <c r="G38" s="22"/>
      <c r="H38" s="18"/>
    </row>
    <row r="39" spans="1:8" ht="13.75" customHeight="1" x14ac:dyDescent="0.15">
      <c r="A39" s="23" t="s">
        <v>397</v>
      </c>
      <c r="B39" s="24" t="s">
        <v>393</v>
      </c>
      <c r="C39" s="24" t="s">
        <v>312</v>
      </c>
      <c r="D39" s="24" t="s">
        <v>398</v>
      </c>
      <c r="E39" s="25">
        <v>3759000</v>
      </c>
      <c r="F39" s="25">
        <f t="shared" si="1"/>
        <v>4999470</v>
      </c>
      <c r="G39" s="28" t="s">
        <v>399</v>
      </c>
      <c r="H39" s="18"/>
    </row>
    <row r="40" spans="1:8" ht="13.75" customHeight="1" x14ac:dyDescent="0.15">
      <c r="A40" s="19" t="s">
        <v>400</v>
      </c>
      <c r="B40" s="20" t="s">
        <v>401</v>
      </c>
      <c r="C40" s="20" t="s">
        <v>312</v>
      </c>
      <c r="D40" s="20" t="s">
        <v>402</v>
      </c>
      <c r="E40" s="21">
        <v>1375000</v>
      </c>
      <c r="F40" s="21">
        <v>1375000</v>
      </c>
      <c r="G40" s="22"/>
      <c r="H40" s="18"/>
    </row>
    <row r="41" spans="1:8" ht="13.75" customHeight="1" x14ac:dyDescent="0.15">
      <c r="A41" s="23" t="s">
        <v>403</v>
      </c>
      <c r="B41" s="24" t="s">
        <v>401</v>
      </c>
      <c r="C41" s="24" t="s">
        <v>312</v>
      </c>
      <c r="D41" s="24" t="s">
        <v>404</v>
      </c>
      <c r="E41" s="25">
        <v>60000</v>
      </c>
      <c r="F41" s="25">
        <v>60000</v>
      </c>
      <c r="G41" s="26"/>
      <c r="H41" s="18"/>
    </row>
    <row r="42" spans="1:8" ht="13.75" customHeight="1" x14ac:dyDescent="0.15">
      <c r="A42" s="19" t="s">
        <v>405</v>
      </c>
      <c r="B42" s="20" t="s">
        <v>401</v>
      </c>
      <c r="C42" s="20" t="s">
        <v>312</v>
      </c>
      <c r="D42" s="20" t="s">
        <v>406</v>
      </c>
      <c r="E42" s="21">
        <v>60000</v>
      </c>
      <c r="F42" s="21">
        <v>60000</v>
      </c>
      <c r="G42" s="22"/>
      <c r="H42" s="18"/>
    </row>
    <row r="43" spans="1:8" ht="13.75" customHeight="1" x14ac:dyDescent="0.15">
      <c r="A43" s="23" t="s">
        <v>407</v>
      </c>
      <c r="B43" s="24" t="s">
        <v>401</v>
      </c>
      <c r="C43" s="24" t="s">
        <v>312</v>
      </c>
      <c r="D43" s="24" t="s">
        <v>408</v>
      </c>
      <c r="E43" s="25">
        <v>60000</v>
      </c>
      <c r="F43" s="25">
        <v>60000</v>
      </c>
      <c r="G43" s="26"/>
      <c r="H43" s="18"/>
    </row>
    <row r="44" spans="1:8" ht="13.75" customHeight="1" x14ac:dyDescent="0.15">
      <c r="A44" s="19" t="s">
        <v>409</v>
      </c>
      <c r="B44" s="20" t="s">
        <v>410</v>
      </c>
      <c r="C44" s="20" t="s">
        <v>312</v>
      </c>
      <c r="D44" s="20" t="s">
        <v>411</v>
      </c>
      <c r="E44" s="21">
        <v>729000</v>
      </c>
      <c r="F44" s="21">
        <v>729000</v>
      </c>
      <c r="G44" s="22"/>
      <c r="H44" s="18"/>
    </row>
    <row r="45" spans="1:8" ht="13.75" customHeight="1" x14ac:dyDescent="0.15">
      <c r="A45" s="23" t="s">
        <v>412</v>
      </c>
      <c r="B45" s="24" t="s">
        <v>311</v>
      </c>
      <c r="C45" s="24" t="s">
        <v>413</v>
      </c>
      <c r="D45" s="24" t="s">
        <v>313</v>
      </c>
      <c r="E45" s="25">
        <v>2342087</v>
      </c>
      <c r="F45" s="25">
        <f t="shared" ref="F45:F50" si="2">(CEILING(E45:E45,1000))*1.33</f>
        <v>3116190</v>
      </c>
      <c r="G45" s="26"/>
      <c r="H45" s="18"/>
    </row>
    <row r="46" spans="1:8" ht="13.75" customHeight="1" x14ac:dyDescent="0.15">
      <c r="A46" s="19" t="s">
        <v>414</v>
      </c>
      <c r="B46" s="20" t="s">
        <v>311</v>
      </c>
      <c r="C46" s="20" t="s">
        <v>413</v>
      </c>
      <c r="D46" s="20" t="s">
        <v>315</v>
      </c>
      <c r="E46" s="21">
        <v>34272</v>
      </c>
      <c r="F46" s="21">
        <f t="shared" si="2"/>
        <v>46550</v>
      </c>
      <c r="G46" s="22"/>
      <c r="H46" s="18"/>
    </row>
    <row r="47" spans="1:8" ht="13.75" customHeight="1" x14ac:dyDescent="0.15">
      <c r="A47" s="23" t="s">
        <v>415</v>
      </c>
      <c r="B47" s="24" t="s">
        <v>311</v>
      </c>
      <c r="C47" s="24" t="s">
        <v>413</v>
      </c>
      <c r="D47" s="24" t="s">
        <v>317</v>
      </c>
      <c r="E47" s="25">
        <v>1257831</v>
      </c>
      <c r="F47" s="25">
        <f t="shared" si="2"/>
        <v>1673140</v>
      </c>
      <c r="G47" s="28" t="s">
        <v>416</v>
      </c>
      <c r="H47" s="18"/>
    </row>
    <row r="48" spans="1:8" ht="13.75" customHeight="1" x14ac:dyDescent="0.15">
      <c r="A48" s="19" t="s">
        <v>417</v>
      </c>
      <c r="B48" s="20" t="s">
        <v>311</v>
      </c>
      <c r="C48" s="20" t="s">
        <v>413</v>
      </c>
      <c r="D48" s="20" t="s">
        <v>320</v>
      </c>
      <c r="E48" s="21">
        <v>803250</v>
      </c>
      <c r="F48" s="21">
        <f t="shared" si="2"/>
        <v>1069320</v>
      </c>
      <c r="G48" s="22"/>
      <c r="H48" s="18"/>
    </row>
    <row r="49" spans="1:8" ht="13.75" customHeight="1" x14ac:dyDescent="0.15">
      <c r="A49" s="23" t="s">
        <v>418</v>
      </c>
      <c r="B49" s="24" t="s">
        <v>311</v>
      </c>
      <c r="C49" s="24" t="s">
        <v>413</v>
      </c>
      <c r="D49" s="24" t="s">
        <v>322</v>
      </c>
      <c r="E49" s="25">
        <v>1329496</v>
      </c>
      <c r="F49" s="25">
        <f t="shared" si="2"/>
        <v>1768900</v>
      </c>
      <c r="G49" s="26"/>
      <c r="H49" s="18"/>
    </row>
    <row r="50" spans="1:8" ht="13.75" customHeight="1" x14ac:dyDescent="0.15">
      <c r="A50" s="19" t="s">
        <v>419</v>
      </c>
      <c r="B50" s="20" t="s">
        <v>311</v>
      </c>
      <c r="C50" s="20" t="s">
        <v>413</v>
      </c>
      <c r="D50" s="20" t="s">
        <v>324</v>
      </c>
      <c r="E50" s="21">
        <v>843234</v>
      </c>
      <c r="F50" s="21">
        <f t="shared" si="2"/>
        <v>1122520</v>
      </c>
      <c r="G50" s="22"/>
      <c r="H50" s="18"/>
    </row>
    <row r="51" spans="1:8" ht="13.75" customHeight="1" x14ac:dyDescent="0.15">
      <c r="A51" s="23" t="s">
        <v>420</v>
      </c>
      <c r="B51" s="24" t="s">
        <v>311</v>
      </c>
      <c r="C51" s="24" t="s">
        <v>413</v>
      </c>
      <c r="D51" s="24" t="s">
        <v>326</v>
      </c>
      <c r="E51" s="25">
        <v>334152</v>
      </c>
      <c r="F51" s="25">
        <v>334152</v>
      </c>
      <c r="G51" s="26"/>
      <c r="H51" s="18"/>
    </row>
    <row r="52" spans="1:8" ht="13.75" customHeight="1" x14ac:dyDescent="0.15">
      <c r="A52" s="19" t="s">
        <v>421</v>
      </c>
      <c r="B52" s="20" t="s">
        <v>311</v>
      </c>
      <c r="C52" s="20" t="s">
        <v>413</v>
      </c>
      <c r="D52" s="20" t="s">
        <v>328</v>
      </c>
      <c r="E52" s="21">
        <v>334152</v>
      </c>
      <c r="F52" s="21">
        <v>334152</v>
      </c>
      <c r="G52" s="22"/>
      <c r="H52" s="18"/>
    </row>
    <row r="53" spans="1:8" ht="13.75" customHeight="1" x14ac:dyDescent="0.15">
      <c r="A53" s="23" t="s">
        <v>422</v>
      </c>
      <c r="B53" s="24" t="s">
        <v>330</v>
      </c>
      <c r="C53" s="24" t="s">
        <v>413</v>
      </c>
      <c r="D53" s="24" t="s">
        <v>331</v>
      </c>
      <c r="E53" s="25">
        <v>405000</v>
      </c>
      <c r="F53" s="25">
        <f t="shared" ref="F53:F80" si="3">(CEILING(E53:E53,1000))*1.33</f>
        <v>538650</v>
      </c>
      <c r="G53" s="26"/>
      <c r="H53" s="18"/>
    </row>
    <row r="54" spans="1:8" ht="13.75" customHeight="1" x14ac:dyDescent="0.15">
      <c r="A54" s="19" t="s">
        <v>423</v>
      </c>
      <c r="B54" s="20" t="s">
        <v>330</v>
      </c>
      <c r="C54" s="20" t="s">
        <v>413</v>
      </c>
      <c r="D54" s="20" t="s">
        <v>424</v>
      </c>
      <c r="E54" s="21">
        <v>702000</v>
      </c>
      <c r="F54" s="21">
        <f t="shared" si="3"/>
        <v>933660</v>
      </c>
      <c r="G54" s="22"/>
      <c r="H54" s="18"/>
    </row>
    <row r="55" spans="1:8" ht="13.75" customHeight="1" x14ac:dyDescent="0.15">
      <c r="A55" s="23" t="s">
        <v>425</v>
      </c>
      <c r="B55" s="24" t="s">
        <v>333</v>
      </c>
      <c r="C55" s="24" t="s">
        <v>413</v>
      </c>
      <c r="D55" s="24" t="s">
        <v>334</v>
      </c>
      <c r="E55" s="25">
        <v>6987045</v>
      </c>
      <c r="F55" s="25">
        <f t="shared" si="3"/>
        <v>9294040</v>
      </c>
      <c r="G55" s="28" t="s">
        <v>426</v>
      </c>
      <c r="H55" s="18"/>
    </row>
    <row r="56" spans="1:8" ht="13.75" customHeight="1" x14ac:dyDescent="0.15">
      <c r="A56" s="19" t="s">
        <v>427</v>
      </c>
      <c r="B56" s="20" t="s">
        <v>333</v>
      </c>
      <c r="C56" s="20" t="s">
        <v>413</v>
      </c>
      <c r="D56" s="20" t="s">
        <v>337</v>
      </c>
      <c r="E56" s="21">
        <v>15097000</v>
      </c>
      <c r="F56" s="21">
        <f t="shared" si="3"/>
        <v>20079010</v>
      </c>
      <c r="G56" s="27" t="s">
        <v>428</v>
      </c>
      <c r="H56" s="18"/>
    </row>
    <row r="57" spans="1:8" ht="13.75" customHeight="1" x14ac:dyDescent="0.15">
      <c r="A57" s="23" t="s">
        <v>429</v>
      </c>
      <c r="B57" s="24" t="s">
        <v>340</v>
      </c>
      <c r="C57" s="24" t="s">
        <v>413</v>
      </c>
      <c r="D57" s="24" t="s">
        <v>430</v>
      </c>
      <c r="E57" s="25">
        <v>428400</v>
      </c>
      <c r="F57" s="25">
        <f t="shared" si="3"/>
        <v>570570</v>
      </c>
      <c r="G57" s="26"/>
      <c r="H57" s="18"/>
    </row>
    <row r="58" spans="1:8" ht="13.75" customHeight="1" x14ac:dyDescent="0.15">
      <c r="A58" s="19" t="s">
        <v>431</v>
      </c>
      <c r="B58" s="20" t="s">
        <v>343</v>
      </c>
      <c r="C58" s="20" t="s">
        <v>413</v>
      </c>
      <c r="D58" s="20" t="s">
        <v>346</v>
      </c>
      <c r="E58" s="21">
        <v>828700</v>
      </c>
      <c r="F58" s="21">
        <f t="shared" si="3"/>
        <v>1102570</v>
      </c>
      <c r="G58" s="22"/>
      <c r="H58" s="18"/>
    </row>
    <row r="59" spans="1:8" ht="13.75" customHeight="1" x14ac:dyDescent="0.15">
      <c r="A59" s="23" t="s">
        <v>432</v>
      </c>
      <c r="B59" s="24" t="s">
        <v>343</v>
      </c>
      <c r="C59" s="24" t="s">
        <v>413</v>
      </c>
      <c r="D59" s="24" t="s">
        <v>433</v>
      </c>
      <c r="E59" s="25">
        <v>4411000</v>
      </c>
      <c r="F59" s="25">
        <f t="shared" si="3"/>
        <v>5866630</v>
      </c>
      <c r="G59" s="26"/>
      <c r="H59" s="18"/>
    </row>
    <row r="60" spans="1:8" ht="13.75" customHeight="1" x14ac:dyDescent="0.15">
      <c r="A60" s="19" t="s">
        <v>434</v>
      </c>
      <c r="B60" s="20" t="s">
        <v>343</v>
      </c>
      <c r="C60" s="20" t="s">
        <v>413</v>
      </c>
      <c r="D60" s="20" t="s">
        <v>435</v>
      </c>
      <c r="E60" s="21">
        <v>3195000</v>
      </c>
      <c r="F60" s="21">
        <f t="shared" si="3"/>
        <v>4249350</v>
      </c>
      <c r="G60" s="22"/>
      <c r="H60" s="18"/>
    </row>
    <row r="61" spans="1:8" ht="13.75" customHeight="1" x14ac:dyDescent="0.15">
      <c r="A61" s="23" t="s">
        <v>436</v>
      </c>
      <c r="B61" s="24" t="s">
        <v>350</v>
      </c>
      <c r="C61" s="24" t="s">
        <v>413</v>
      </c>
      <c r="D61" s="24" t="s">
        <v>437</v>
      </c>
      <c r="E61" s="25">
        <v>1332800</v>
      </c>
      <c r="F61" s="25">
        <f t="shared" si="3"/>
        <v>1772890</v>
      </c>
      <c r="G61" s="26"/>
      <c r="H61" s="18"/>
    </row>
    <row r="62" spans="1:8" ht="13.75" customHeight="1" x14ac:dyDescent="0.15">
      <c r="A62" s="19" t="s">
        <v>438</v>
      </c>
      <c r="B62" s="20" t="s">
        <v>357</v>
      </c>
      <c r="C62" s="20" t="s">
        <v>413</v>
      </c>
      <c r="D62" s="20" t="s">
        <v>439</v>
      </c>
      <c r="E62" s="21">
        <v>1164266</v>
      </c>
      <c r="F62" s="21">
        <f t="shared" si="3"/>
        <v>1549450</v>
      </c>
      <c r="G62" s="22"/>
      <c r="H62" s="18"/>
    </row>
    <row r="63" spans="1:8" ht="13.75" customHeight="1" x14ac:dyDescent="0.15">
      <c r="A63" s="23" t="s">
        <v>440</v>
      </c>
      <c r="B63" s="24" t="s">
        <v>360</v>
      </c>
      <c r="C63" s="24" t="s">
        <v>413</v>
      </c>
      <c r="D63" s="24" t="s">
        <v>361</v>
      </c>
      <c r="E63" s="25">
        <v>108000</v>
      </c>
      <c r="F63" s="25">
        <f t="shared" si="3"/>
        <v>143640</v>
      </c>
      <c r="G63" s="26"/>
      <c r="H63" s="18"/>
    </row>
    <row r="64" spans="1:8" ht="13.75" customHeight="1" x14ac:dyDescent="0.15">
      <c r="A64" s="19" t="s">
        <v>441</v>
      </c>
      <c r="B64" s="20" t="s">
        <v>360</v>
      </c>
      <c r="C64" s="20" t="s">
        <v>413</v>
      </c>
      <c r="D64" s="20" t="s">
        <v>442</v>
      </c>
      <c r="E64" s="21">
        <v>154000</v>
      </c>
      <c r="F64" s="21">
        <f t="shared" si="3"/>
        <v>204820</v>
      </c>
      <c r="G64" s="22"/>
      <c r="H64" s="18"/>
    </row>
    <row r="65" spans="1:8" ht="13.75" customHeight="1" x14ac:dyDescent="0.15">
      <c r="A65" s="23" t="s">
        <v>443</v>
      </c>
      <c r="B65" s="24" t="s">
        <v>360</v>
      </c>
      <c r="C65" s="24" t="s">
        <v>413</v>
      </c>
      <c r="D65" s="24" t="s">
        <v>364</v>
      </c>
      <c r="E65" s="25">
        <v>549000</v>
      </c>
      <c r="F65" s="25">
        <f t="shared" si="3"/>
        <v>730170</v>
      </c>
      <c r="G65" s="26"/>
      <c r="H65" s="18"/>
    </row>
    <row r="66" spans="1:8" ht="13.75" customHeight="1" x14ac:dyDescent="0.15">
      <c r="A66" s="19" t="s">
        <v>444</v>
      </c>
      <c r="B66" s="20" t="s">
        <v>360</v>
      </c>
      <c r="C66" s="20" t="s">
        <v>413</v>
      </c>
      <c r="D66" s="20" t="s">
        <v>366</v>
      </c>
      <c r="E66" s="21">
        <v>58000</v>
      </c>
      <c r="F66" s="21">
        <f t="shared" si="3"/>
        <v>77140</v>
      </c>
      <c r="G66" s="22"/>
      <c r="H66" s="18"/>
    </row>
    <row r="67" spans="1:8" ht="13.75" customHeight="1" x14ac:dyDescent="0.15">
      <c r="A67" s="23" t="s">
        <v>445</v>
      </c>
      <c r="B67" s="24" t="s">
        <v>360</v>
      </c>
      <c r="C67" s="24" t="s">
        <v>413</v>
      </c>
      <c r="D67" s="24" t="s">
        <v>370</v>
      </c>
      <c r="E67" s="25">
        <v>500000</v>
      </c>
      <c r="F67" s="25">
        <f t="shared" si="3"/>
        <v>665000</v>
      </c>
      <c r="G67" s="26"/>
      <c r="H67" s="18"/>
    </row>
    <row r="68" spans="1:8" ht="13.75" customHeight="1" x14ac:dyDescent="0.15">
      <c r="A68" s="19" t="s">
        <v>446</v>
      </c>
      <c r="B68" s="20" t="s">
        <v>360</v>
      </c>
      <c r="C68" s="20" t="s">
        <v>413</v>
      </c>
      <c r="D68" s="20" t="s">
        <v>447</v>
      </c>
      <c r="E68" s="21">
        <v>58000</v>
      </c>
      <c r="F68" s="21">
        <f t="shared" si="3"/>
        <v>77140</v>
      </c>
      <c r="G68" s="22"/>
      <c r="H68" s="18"/>
    </row>
    <row r="69" spans="1:8" ht="13.75" customHeight="1" x14ac:dyDescent="0.15">
      <c r="A69" s="23" t="s">
        <v>448</v>
      </c>
      <c r="B69" s="24" t="s">
        <v>360</v>
      </c>
      <c r="C69" s="24" t="s">
        <v>413</v>
      </c>
      <c r="D69" s="24" t="s">
        <v>372</v>
      </c>
      <c r="E69" s="25">
        <v>34000</v>
      </c>
      <c r="F69" s="25">
        <f t="shared" si="3"/>
        <v>45220</v>
      </c>
      <c r="G69" s="26"/>
      <c r="H69" s="18"/>
    </row>
    <row r="70" spans="1:8" ht="13.75" customHeight="1" x14ac:dyDescent="0.15">
      <c r="A70" s="19" t="s">
        <v>449</v>
      </c>
      <c r="B70" s="20" t="s">
        <v>360</v>
      </c>
      <c r="C70" s="20" t="s">
        <v>413</v>
      </c>
      <c r="D70" s="20" t="s">
        <v>374</v>
      </c>
      <c r="E70" s="21">
        <v>197000</v>
      </c>
      <c r="F70" s="21">
        <f t="shared" si="3"/>
        <v>262010</v>
      </c>
      <c r="G70" s="22"/>
      <c r="H70" s="18"/>
    </row>
    <row r="71" spans="1:8" ht="13.75" customHeight="1" x14ac:dyDescent="0.15">
      <c r="A71" s="23" t="s">
        <v>450</v>
      </c>
      <c r="B71" s="24" t="s">
        <v>360</v>
      </c>
      <c r="C71" s="24" t="s">
        <v>413</v>
      </c>
      <c r="D71" s="24" t="s">
        <v>378</v>
      </c>
      <c r="E71" s="25">
        <v>60000</v>
      </c>
      <c r="F71" s="25">
        <f t="shared" si="3"/>
        <v>79800</v>
      </c>
      <c r="G71" s="26"/>
      <c r="H71" s="18"/>
    </row>
    <row r="72" spans="1:8" ht="13.75" customHeight="1" x14ac:dyDescent="0.15">
      <c r="A72" s="19" t="s">
        <v>451</v>
      </c>
      <c r="B72" s="20" t="s">
        <v>360</v>
      </c>
      <c r="C72" s="20" t="s">
        <v>413</v>
      </c>
      <c r="D72" s="20" t="s">
        <v>380</v>
      </c>
      <c r="E72" s="21">
        <v>25000</v>
      </c>
      <c r="F72" s="21">
        <f t="shared" si="3"/>
        <v>33250</v>
      </c>
      <c r="G72" s="22"/>
      <c r="H72" s="18"/>
    </row>
    <row r="73" spans="1:8" ht="13.75" customHeight="1" x14ac:dyDescent="0.15">
      <c r="A73" s="23" t="s">
        <v>452</v>
      </c>
      <c r="B73" s="24" t="s">
        <v>360</v>
      </c>
      <c r="C73" s="24" t="s">
        <v>413</v>
      </c>
      <c r="D73" s="24" t="s">
        <v>382</v>
      </c>
      <c r="E73" s="25">
        <v>24000</v>
      </c>
      <c r="F73" s="25">
        <f t="shared" si="3"/>
        <v>31920</v>
      </c>
      <c r="G73" s="26"/>
      <c r="H73" s="18"/>
    </row>
    <row r="74" spans="1:8" ht="13.75" customHeight="1" x14ac:dyDescent="0.15">
      <c r="A74" s="19" t="s">
        <v>453</v>
      </c>
      <c r="B74" s="20" t="s">
        <v>360</v>
      </c>
      <c r="C74" s="20" t="s">
        <v>413</v>
      </c>
      <c r="D74" s="20" t="s">
        <v>454</v>
      </c>
      <c r="E74" s="21">
        <v>37500</v>
      </c>
      <c r="F74" s="21">
        <f t="shared" si="3"/>
        <v>50540</v>
      </c>
      <c r="G74" s="22"/>
      <c r="H74" s="18"/>
    </row>
    <row r="75" spans="1:8" ht="13.75" customHeight="1" x14ac:dyDescent="0.15">
      <c r="A75" s="23" t="s">
        <v>455</v>
      </c>
      <c r="B75" s="24" t="s">
        <v>360</v>
      </c>
      <c r="C75" s="24" t="s">
        <v>413</v>
      </c>
      <c r="D75" s="24" t="s">
        <v>386</v>
      </c>
      <c r="E75" s="25">
        <v>100000</v>
      </c>
      <c r="F75" s="25">
        <f t="shared" si="3"/>
        <v>133000</v>
      </c>
      <c r="G75" s="26"/>
      <c r="H75" s="18"/>
    </row>
    <row r="76" spans="1:8" ht="13.75" customHeight="1" x14ac:dyDescent="0.15">
      <c r="A76" s="19" t="s">
        <v>456</v>
      </c>
      <c r="B76" s="20" t="s">
        <v>388</v>
      </c>
      <c r="C76" s="20" t="s">
        <v>413</v>
      </c>
      <c r="D76" s="20" t="s">
        <v>389</v>
      </c>
      <c r="E76" s="21">
        <v>171600</v>
      </c>
      <c r="F76" s="21">
        <f t="shared" si="3"/>
        <v>228760</v>
      </c>
      <c r="G76" s="22"/>
      <c r="H76" s="18"/>
    </row>
    <row r="77" spans="1:8" ht="13.75" customHeight="1" x14ac:dyDescent="0.15">
      <c r="A77" s="23" t="s">
        <v>457</v>
      </c>
      <c r="B77" s="24" t="s">
        <v>388</v>
      </c>
      <c r="C77" s="24" t="s">
        <v>413</v>
      </c>
      <c r="D77" s="24" t="s">
        <v>391</v>
      </c>
      <c r="E77" s="25">
        <v>406000</v>
      </c>
      <c r="F77" s="25">
        <f t="shared" si="3"/>
        <v>539980</v>
      </c>
      <c r="G77" s="26"/>
      <c r="H77" s="18"/>
    </row>
    <row r="78" spans="1:8" ht="13.75" customHeight="1" x14ac:dyDescent="0.15">
      <c r="A78" s="19" t="s">
        <v>458</v>
      </c>
      <c r="B78" s="20" t="s">
        <v>388</v>
      </c>
      <c r="C78" s="20" t="s">
        <v>413</v>
      </c>
      <c r="D78" s="20" t="s">
        <v>459</v>
      </c>
      <c r="E78" s="21">
        <v>490875</v>
      </c>
      <c r="F78" s="21">
        <f t="shared" si="3"/>
        <v>653030</v>
      </c>
      <c r="G78" s="22"/>
      <c r="H78" s="18"/>
    </row>
    <row r="79" spans="1:8" ht="13.75" customHeight="1" x14ac:dyDescent="0.15">
      <c r="A79" s="23" t="s">
        <v>460</v>
      </c>
      <c r="B79" s="24" t="s">
        <v>393</v>
      </c>
      <c r="C79" s="24" t="s">
        <v>413</v>
      </c>
      <c r="D79" s="24" t="s">
        <v>461</v>
      </c>
      <c r="E79" s="25">
        <v>787220</v>
      </c>
      <c r="F79" s="25">
        <f t="shared" si="3"/>
        <v>1048040</v>
      </c>
      <c r="G79" s="26"/>
      <c r="H79" s="18"/>
    </row>
    <row r="80" spans="1:8" ht="13.75" customHeight="1" x14ac:dyDescent="0.15">
      <c r="A80" s="19" t="s">
        <v>462</v>
      </c>
      <c r="B80" s="20" t="s">
        <v>393</v>
      </c>
      <c r="C80" s="20" t="s">
        <v>413</v>
      </c>
      <c r="D80" s="20" t="s">
        <v>398</v>
      </c>
      <c r="E80" s="21">
        <v>1904000</v>
      </c>
      <c r="F80" s="21">
        <f t="shared" si="3"/>
        <v>2532320</v>
      </c>
      <c r="G80" s="22"/>
      <c r="H80" s="18"/>
    </row>
    <row r="81" spans="1:8" ht="13.75" customHeight="1" x14ac:dyDescent="0.15">
      <c r="A81" s="23" t="s">
        <v>463</v>
      </c>
      <c r="B81" s="24" t="s">
        <v>401</v>
      </c>
      <c r="C81" s="24" t="s">
        <v>413</v>
      </c>
      <c r="D81" s="24" t="s">
        <v>402</v>
      </c>
      <c r="E81" s="25">
        <v>917000</v>
      </c>
      <c r="F81" s="25">
        <v>917000</v>
      </c>
      <c r="G81" s="26"/>
      <c r="H81" s="18"/>
    </row>
    <row r="82" spans="1:8" ht="13.75" customHeight="1" x14ac:dyDescent="0.15">
      <c r="A82" s="19" t="s">
        <v>464</v>
      </c>
      <c r="B82" s="20" t="s">
        <v>401</v>
      </c>
      <c r="C82" s="20" t="s">
        <v>413</v>
      </c>
      <c r="D82" s="20" t="s">
        <v>404</v>
      </c>
      <c r="E82" s="21">
        <v>60000</v>
      </c>
      <c r="F82" s="21">
        <v>60000</v>
      </c>
      <c r="G82" s="22"/>
      <c r="H82" s="18"/>
    </row>
    <row r="83" spans="1:8" ht="13.75" customHeight="1" x14ac:dyDescent="0.15">
      <c r="A83" s="23" t="s">
        <v>465</v>
      </c>
      <c r="B83" s="24" t="s">
        <v>401</v>
      </c>
      <c r="C83" s="24" t="s">
        <v>413</v>
      </c>
      <c r="D83" s="24" t="s">
        <v>408</v>
      </c>
      <c r="E83" s="25">
        <v>60000</v>
      </c>
      <c r="F83" s="25">
        <v>60000</v>
      </c>
      <c r="G83" s="26"/>
      <c r="H83" s="18"/>
    </row>
    <row r="84" spans="1:8" ht="13.75" customHeight="1" x14ac:dyDescent="0.15">
      <c r="A84" s="19" t="s">
        <v>466</v>
      </c>
      <c r="B84" s="20" t="s">
        <v>410</v>
      </c>
      <c r="C84" s="20" t="s">
        <v>413</v>
      </c>
      <c r="D84" s="20" t="s">
        <v>411</v>
      </c>
      <c r="E84" s="21">
        <v>479000</v>
      </c>
      <c r="F84" s="21">
        <v>479000</v>
      </c>
      <c r="G84" s="22"/>
      <c r="H84" s="18"/>
    </row>
    <row r="85" spans="1:8" ht="13.75" customHeight="1" x14ac:dyDescent="0.15">
      <c r="A85" s="23" t="s">
        <v>467</v>
      </c>
      <c r="B85" s="24" t="s">
        <v>311</v>
      </c>
      <c r="C85" s="24" t="s">
        <v>468</v>
      </c>
      <c r="D85" s="24" t="s">
        <v>313</v>
      </c>
      <c r="E85" s="25">
        <v>1889544</v>
      </c>
      <c r="F85" s="25">
        <f t="shared" ref="F85:F90" si="4">(CEILING(E85:E85,1000))*1.33</f>
        <v>2513700</v>
      </c>
      <c r="G85" s="26"/>
      <c r="H85" s="18"/>
    </row>
    <row r="86" spans="1:8" ht="13.75" customHeight="1" x14ac:dyDescent="0.15">
      <c r="A86" s="19" t="s">
        <v>469</v>
      </c>
      <c r="B86" s="20" t="s">
        <v>311</v>
      </c>
      <c r="C86" s="20" t="s">
        <v>468</v>
      </c>
      <c r="D86" s="20" t="s">
        <v>315</v>
      </c>
      <c r="E86" s="21">
        <v>11424</v>
      </c>
      <c r="F86" s="21">
        <f t="shared" si="4"/>
        <v>15960</v>
      </c>
      <c r="G86" s="22"/>
      <c r="H86" s="18"/>
    </row>
    <row r="87" spans="1:8" ht="13.75" customHeight="1" x14ac:dyDescent="0.15">
      <c r="A87" s="23" t="s">
        <v>470</v>
      </c>
      <c r="B87" s="24" t="s">
        <v>311</v>
      </c>
      <c r="C87" s="24" t="s">
        <v>468</v>
      </c>
      <c r="D87" s="24" t="s">
        <v>317</v>
      </c>
      <c r="E87" s="25">
        <v>1607690</v>
      </c>
      <c r="F87" s="25">
        <f t="shared" si="4"/>
        <v>2138640</v>
      </c>
      <c r="G87" s="28" t="s">
        <v>471</v>
      </c>
      <c r="H87" s="18"/>
    </row>
    <row r="88" spans="1:8" ht="13.75" customHeight="1" x14ac:dyDescent="0.15">
      <c r="A88" s="19" t="s">
        <v>472</v>
      </c>
      <c r="B88" s="20" t="s">
        <v>311</v>
      </c>
      <c r="C88" s="20" t="s">
        <v>468</v>
      </c>
      <c r="D88" s="20" t="s">
        <v>320</v>
      </c>
      <c r="E88" s="21">
        <v>2669170</v>
      </c>
      <c r="F88" s="21">
        <f t="shared" si="4"/>
        <v>3551100</v>
      </c>
      <c r="G88" s="22"/>
      <c r="H88" s="18"/>
    </row>
    <row r="89" spans="1:8" ht="13.75" customHeight="1" x14ac:dyDescent="0.15">
      <c r="A89" s="23" t="s">
        <v>473</v>
      </c>
      <c r="B89" s="24" t="s">
        <v>311</v>
      </c>
      <c r="C89" s="24" t="s">
        <v>468</v>
      </c>
      <c r="D89" s="24" t="s">
        <v>322</v>
      </c>
      <c r="E89" s="25">
        <v>1151397</v>
      </c>
      <c r="F89" s="25">
        <f t="shared" si="4"/>
        <v>1532160</v>
      </c>
      <c r="G89" s="26"/>
      <c r="H89" s="18"/>
    </row>
    <row r="90" spans="1:8" ht="13.75" customHeight="1" x14ac:dyDescent="0.15">
      <c r="A90" s="19" t="s">
        <v>474</v>
      </c>
      <c r="B90" s="20" t="s">
        <v>311</v>
      </c>
      <c r="C90" s="20" t="s">
        <v>468</v>
      </c>
      <c r="D90" s="20" t="s">
        <v>324</v>
      </c>
      <c r="E90" s="21">
        <v>693639</v>
      </c>
      <c r="F90" s="21">
        <f t="shared" si="4"/>
        <v>923020</v>
      </c>
      <c r="G90" s="22"/>
      <c r="H90" s="18"/>
    </row>
    <row r="91" spans="1:8" ht="13.75" customHeight="1" x14ac:dyDescent="0.15">
      <c r="A91" s="23" t="s">
        <v>475</v>
      </c>
      <c r="B91" s="24" t="s">
        <v>311</v>
      </c>
      <c r="C91" s="24" t="s">
        <v>468</v>
      </c>
      <c r="D91" s="24" t="s">
        <v>326</v>
      </c>
      <c r="E91" s="25">
        <v>303664</v>
      </c>
      <c r="F91" s="25">
        <v>303664</v>
      </c>
      <c r="G91" s="26"/>
      <c r="H91" s="18"/>
    </row>
    <row r="92" spans="1:8" ht="13.75" customHeight="1" x14ac:dyDescent="0.15">
      <c r="A92" s="19" t="s">
        <v>476</v>
      </c>
      <c r="B92" s="20" t="s">
        <v>311</v>
      </c>
      <c r="C92" s="20" t="s">
        <v>468</v>
      </c>
      <c r="D92" s="20" t="s">
        <v>328</v>
      </c>
      <c r="E92" s="21">
        <v>303664</v>
      </c>
      <c r="F92" s="21">
        <v>303664</v>
      </c>
      <c r="G92" s="22"/>
      <c r="H92" s="18"/>
    </row>
    <row r="93" spans="1:8" ht="13.75" customHeight="1" x14ac:dyDescent="0.15">
      <c r="A93" s="23" t="s">
        <v>477</v>
      </c>
      <c r="B93" s="24" t="s">
        <v>330</v>
      </c>
      <c r="C93" s="24" t="s">
        <v>468</v>
      </c>
      <c r="D93" s="24" t="s">
        <v>331</v>
      </c>
      <c r="E93" s="25">
        <v>692000</v>
      </c>
      <c r="F93" s="25">
        <f t="shared" ref="F93:F126" si="5">(CEILING(E93:E93,1000))*1.33</f>
        <v>920360</v>
      </c>
      <c r="G93" s="26"/>
      <c r="H93" s="18"/>
    </row>
    <row r="94" spans="1:8" ht="13.75" customHeight="1" x14ac:dyDescent="0.15">
      <c r="A94" s="19" t="s">
        <v>478</v>
      </c>
      <c r="B94" s="20" t="s">
        <v>330</v>
      </c>
      <c r="C94" s="20" t="s">
        <v>468</v>
      </c>
      <c r="D94" s="20" t="s">
        <v>424</v>
      </c>
      <c r="E94" s="21">
        <v>1173000</v>
      </c>
      <c r="F94" s="21">
        <f t="shared" si="5"/>
        <v>1560090</v>
      </c>
      <c r="G94" s="22"/>
      <c r="H94" s="18"/>
    </row>
    <row r="95" spans="1:8" ht="13.75" customHeight="1" x14ac:dyDescent="0.15">
      <c r="A95" s="23" t="s">
        <v>479</v>
      </c>
      <c r="B95" s="24" t="s">
        <v>330</v>
      </c>
      <c r="C95" s="24" t="s">
        <v>468</v>
      </c>
      <c r="D95" s="24" t="s">
        <v>480</v>
      </c>
      <c r="E95" s="25">
        <v>76000</v>
      </c>
      <c r="F95" s="25">
        <f t="shared" si="5"/>
        <v>101080</v>
      </c>
      <c r="G95" s="26"/>
      <c r="H95" s="18"/>
    </row>
    <row r="96" spans="1:8" ht="13.75" customHeight="1" x14ac:dyDescent="0.15">
      <c r="A96" s="19" t="s">
        <v>481</v>
      </c>
      <c r="B96" s="20" t="s">
        <v>330</v>
      </c>
      <c r="C96" s="20" t="s">
        <v>468</v>
      </c>
      <c r="D96" s="20" t="s">
        <v>482</v>
      </c>
      <c r="E96" s="21">
        <v>264000</v>
      </c>
      <c r="F96" s="21">
        <f t="shared" si="5"/>
        <v>351120</v>
      </c>
      <c r="G96" s="22"/>
      <c r="H96" s="18"/>
    </row>
    <row r="97" spans="1:8" ht="13.75" customHeight="1" x14ac:dyDescent="0.15">
      <c r="A97" s="23" t="s">
        <v>483</v>
      </c>
      <c r="B97" s="24" t="s">
        <v>333</v>
      </c>
      <c r="C97" s="24" t="s">
        <v>468</v>
      </c>
      <c r="D97" s="24" t="s">
        <v>484</v>
      </c>
      <c r="E97" s="25">
        <v>2756000</v>
      </c>
      <c r="F97" s="25">
        <f t="shared" si="5"/>
        <v>3665480</v>
      </c>
      <c r="G97" s="28" t="s">
        <v>426</v>
      </c>
      <c r="H97" s="18"/>
    </row>
    <row r="98" spans="1:8" ht="13.75" customHeight="1" x14ac:dyDescent="0.15">
      <c r="A98" s="19" t="s">
        <v>485</v>
      </c>
      <c r="B98" s="20" t="s">
        <v>340</v>
      </c>
      <c r="C98" s="20" t="s">
        <v>468</v>
      </c>
      <c r="D98" s="20" t="s">
        <v>486</v>
      </c>
      <c r="E98" s="21">
        <v>2317644</v>
      </c>
      <c r="F98" s="21">
        <f t="shared" si="5"/>
        <v>3082940</v>
      </c>
      <c r="G98" s="22"/>
      <c r="H98" s="18"/>
    </row>
    <row r="99" spans="1:8" ht="13.75" customHeight="1" x14ac:dyDescent="0.15">
      <c r="A99" s="23" t="s">
        <v>487</v>
      </c>
      <c r="B99" s="24" t="s">
        <v>340</v>
      </c>
      <c r="C99" s="24" t="s">
        <v>468</v>
      </c>
      <c r="D99" s="24" t="s">
        <v>488</v>
      </c>
      <c r="E99" s="25">
        <v>1095861</v>
      </c>
      <c r="F99" s="25">
        <f t="shared" si="5"/>
        <v>1457680</v>
      </c>
      <c r="G99" s="26"/>
      <c r="H99" s="18"/>
    </row>
    <row r="100" spans="1:8" ht="13.75" customHeight="1" x14ac:dyDescent="0.15">
      <c r="A100" s="19" t="s">
        <v>489</v>
      </c>
      <c r="B100" s="20" t="s">
        <v>340</v>
      </c>
      <c r="C100" s="20" t="s">
        <v>468</v>
      </c>
      <c r="D100" s="20" t="s">
        <v>490</v>
      </c>
      <c r="E100" s="21">
        <v>581196</v>
      </c>
      <c r="F100" s="21">
        <f t="shared" si="5"/>
        <v>774060</v>
      </c>
      <c r="G100" s="22"/>
      <c r="H100" s="18"/>
    </row>
    <row r="101" spans="1:8" ht="13.75" customHeight="1" x14ac:dyDescent="0.15">
      <c r="A101" s="23" t="s">
        <v>491</v>
      </c>
      <c r="B101" s="24" t="s">
        <v>340</v>
      </c>
      <c r="C101" s="24" t="s">
        <v>468</v>
      </c>
      <c r="D101" s="24" t="s">
        <v>492</v>
      </c>
      <c r="E101" s="25">
        <v>365287</v>
      </c>
      <c r="F101" s="25">
        <f t="shared" si="5"/>
        <v>486780</v>
      </c>
      <c r="G101" s="26"/>
      <c r="H101" s="18"/>
    </row>
    <row r="102" spans="1:8" ht="13.75" customHeight="1" x14ac:dyDescent="0.15">
      <c r="A102" s="19" t="s">
        <v>493</v>
      </c>
      <c r="B102" s="20" t="s">
        <v>340</v>
      </c>
      <c r="C102" s="20" t="s">
        <v>468</v>
      </c>
      <c r="D102" s="20" t="s">
        <v>494</v>
      </c>
      <c r="E102" s="21">
        <v>4056913</v>
      </c>
      <c r="F102" s="21">
        <f t="shared" si="5"/>
        <v>5395810</v>
      </c>
      <c r="G102" s="22"/>
      <c r="H102" s="18"/>
    </row>
    <row r="103" spans="1:8" ht="13.75" customHeight="1" x14ac:dyDescent="0.15">
      <c r="A103" s="23" t="s">
        <v>495</v>
      </c>
      <c r="B103" s="24" t="s">
        <v>343</v>
      </c>
      <c r="C103" s="24" t="s">
        <v>468</v>
      </c>
      <c r="D103" s="24" t="s">
        <v>496</v>
      </c>
      <c r="E103" s="25">
        <v>1320000</v>
      </c>
      <c r="F103" s="25">
        <f t="shared" si="5"/>
        <v>1755600</v>
      </c>
      <c r="G103" s="26"/>
      <c r="H103" s="18"/>
    </row>
    <row r="104" spans="1:8" ht="13.75" customHeight="1" x14ac:dyDescent="0.15">
      <c r="A104" s="19" t="s">
        <v>497</v>
      </c>
      <c r="B104" s="20" t="s">
        <v>343</v>
      </c>
      <c r="C104" s="20" t="s">
        <v>468</v>
      </c>
      <c r="D104" s="20" t="s">
        <v>498</v>
      </c>
      <c r="E104" s="21">
        <v>1634250</v>
      </c>
      <c r="F104" s="21">
        <f t="shared" si="5"/>
        <v>2174550</v>
      </c>
      <c r="G104" s="22"/>
      <c r="H104" s="18"/>
    </row>
    <row r="105" spans="1:8" ht="13.75" customHeight="1" x14ac:dyDescent="0.15">
      <c r="A105" s="23" t="s">
        <v>499</v>
      </c>
      <c r="B105" s="24" t="s">
        <v>343</v>
      </c>
      <c r="C105" s="24" t="s">
        <v>468</v>
      </c>
      <c r="D105" s="24" t="s">
        <v>500</v>
      </c>
      <c r="E105" s="25">
        <v>303000</v>
      </c>
      <c r="F105" s="25">
        <f t="shared" si="5"/>
        <v>402990</v>
      </c>
      <c r="G105" s="26"/>
      <c r="H105" s="18"/>
    </row>
    <row r="106" spans="1:8" ht="13.75" customHeight="1" x14ac:dyDescent="0.15">
      <c r="A106" s="19" t="s">
        <v>501</v>
      </c>
      <c r="B106" s="20" t="s">
        <v>343</v>
      </c>
      <c r="C106" s="20" t="s">
        <v>468</v>
      </c>
      <c r="D106" s="20" t="s">
        <v>346</v>
      </c>
      <c r="E106" s="21">
        <v>529000</v>
      </c>
      <c r="F106" s="21">
        <f t="shared" si="5"/>
        <v>703570</v>
      </c>
      <c r="G106" s="22"/>
      <c r="H106" s="18"/>
    </row>
    <row r="107" spans="1:8" ht="13.75" customHeight="1" x14ac:dyDescent="0.15">
      <c r="A107" s="23" t="s">
        <v>502</v>
      </c>
      <c r="B107" s="24" t="s">
        <v>350</v>
      </c>
      <c r="C107" s="24" t="s">
        <v>468</v>
      </c>
      <c r="D107" s="24" t="s">
        <v>503</v>
      </c>
      <c r="E107" s="25">
        <v>1094800</v>
      </c>
      <c r="F107" s="25">
        <f t="shared" si="5"/>
        <v>1456350</v>
      </c>
      <c r="G107" s="26"/>
      <c r="H107" s="18"/>
    </row>
    <row r="108" spans="1:8" ht="13.75" customHeight="1" x14ac:dyDescent="0.15">
      <c r="A108" s="19" t="s">
        <v>504</v>
      </c>
      <c r="B108" s="20" t="s">
        <v>350</v>
      </c>
      <c r="C108" s="20" t="s">
        <v>468</v>
      </c>
      <c r="D108" s="20" t="s">
        <v>505</v>
      </c>
      <c r="E108" s="21">
        <v>1219312</v>
      </c>
      <c r="F108" s="21">
        <f t="shared" si="5"/>
        <v>1622600</v>
      </c>
      <c r="G108" s="22"/>
      <c r="H108" s="18"/>
    </row>
    <row r="109" spans="1:8" ht="13.75" customHeight="1" x14ac:dyDescent="0.15">
      <c r="A109" s="23" t="s">
        <v>506</v>
      </c>
      <c r="B109" s="24" t="s">
        <v>352</v>
      </c>
      <c r="C109" s="24" t="s">
        <v>468</v>
      </c>
      <c r="D109" s="24" t="s">
        <v>507</v>
      </c>
      <c r="E109" s="25">
        <v>464695</v>
      </c>
      <c r="F109" s="25">
        <f t="shared" si="5"/>
        <v>618450</v>
      </c>
      <c r="G109" s="26"/>
      <c r="H109" s="18"/>
    </row>
    <row r="110" spans="1:8" ht="13.75" customHeight="1" x14ac:dyDescent="0.15">
      <c r="A110" s="19" t="s">
        <v>508</v>
      </c>
      <c r="B110" s="20" t="s">
        <v>352</v>
      </c>
      <c r="C110" s="20" t="s">
        <v>468</v>
      </c>
      <c r="D110" s="20" t="s">
        <v>509</v>
      </c>
      <c r="E110" s="21">
        <v>153510</v>
      </c>
      <c r="F110" s="21">
        <f t="shared" si="5"/>
        <v>204820</v>
      </c>
      <c r="G110" s="22"/>
      <c r="H110" s="18"/>
    </row>
    <row r="111" spans="1:8" ht="13.75" customHeight="1" x14ac:dyDescent="0.15">
      <c r="A111" s="23" t="s">
        <v>510</v>
      </c>
      <c r="B111" s="24" t="s">
        <v>357</v>
      </c>
      <c r="C111" s="24" t="s">
        <v>468</v>
      </c>
      <c r="D111" s="24" t="s">
        <v>511</v>
      </c>
      <c r="E111" s="25">
        <v>1019000</v>
      </c>
      <c r="F111" s="25">
        <f t="shared" si="5"/>
        <v>1355270</v>
      </c>
      <c r="G111" s="26"/>
      <c r="H111" s="18"/>
    </row>
    <row r="112" spans="1:8" ht="13" customHeight="1" x14ac:dyDescent="0.15">
      <c r="A112" s="19" t="s">
        <v>512</v>
      </c>
      <c r="B112" s="20" t="s">
        <v>360</v>
      </c>
      <c r="C112" s="20" t="s">
        <v>468</v>
      </c>
      <c r="D112" s="20" t="s">
        <v>361</v>
      </c>
      <c r="E112" s="21">
        <v>108000</v>
      </c>
      <c r="F112" s="21">
        <f t="shared" si="5"/>
        <v>143640</v>
      </c>
      <c r="G112" s="22"/>
      <c r="H112" s="18"/>
    </row>
    <row r="113" spans="1:8" ht="13.75" customHeight="1" x14ac:dyDescent="0.15">
      <c r="A113" s="23" t="s">
        <v>513</v>
      </c>
      <c r="B113" s="24" t="s">
        <v>360</v>
      </c>
      <c r="C113" s="24" t="s">
        <v>468</v>
      </c>
      <c r="D113" s="24" t="s">
        <v>514</v>
      </c>
      <c r="E113" s="25">
        <v>2114000</v>
      </c>
      <c r="F113" s="25">
        <f t="shared" si="5"/>
        <v>2811620</v>
      </c>
      <c r="G113" s="28" t="s">
        <v>515</v>
      </c>
      <c r="H113" s="18"/>
    </row>
    <row r="114" spans="1:8" ht="13.75" customHeight="1" x14ac:dyDescent="0.15">
      <c r="A114" s="19" t="s">
        <v>516</v>
      </c>
      <c r="B114" s="20" t="s">
        <v>360</v>
      </c>
      <c r="C114" s="20" t="s">
        <v>468</v>
      </c>
      <c r="D114" s="20" t="s">
        <v>364</v>
      </c>
      <c r="E114" s="21">
        <v>9000</v>
      </c>
      <c r="F114" s="21">
        <f t="shared" si="5"/>
        <v>11970</v>
      </c>
      <c r="G114" s="22"/>
      <c r="H114" s="18"/>
    </row>
    <row r="115" spans="1:8" ht="13.75" customHeight="1" x14ac:dyDescent="0.15">
      <c r="A115" s="23" t="s">
        <v>517</v>
      </c>
      <c r="B115" s="24" t="s">
        <v>360</v>
      </c>
      <c r="C115" s="24" t="s">
        <v>468</v>
      </c>
      <c r="D115" s="24" t="s">
        <v>366</v>
      </c>
      <c r="E115" s="25">
        <v>3000</v>
      </c>
      <c r="F115" s="25">
        <f t="shared" si="5"/>
        <v>3990</v>
      </c>
      <c r="G115" s="26"/>
      <c r="H115" s="18"/>
    </row>
    <row r="116" spans="1:8" ht="13.75" customHeight="1" x14ac:dyDescent="0.15">
      <c r="A116" s="19" t="s">
        <v>518</v>
      </c>
      <c r="B116" s="20" t="s">
        <v>360</v>
      </c>
      <c r="C116" s="20" t="s">
        <v>468</v>
      </c>
      <c r="D116" s="20" t="s">
        <v>370</v>
      </c>
      <c r="E116" s="21">
        <v>500000</v>
      </c>
      <c r="F116" s="21">
        <f t="shared" si="5"/>
        <v>665000</v>
      </c>
      <c r="G116" s="22"/>
      <c r="H116" s="18"/>
    </row>
    <row r="117" spans="1:8" ht="13.75" customHeight="1" x14ac:dyDescent="0.15">
      <c r="A117" s="23" t="s">
        <v>519</v>
      </c>
      <c r="B117" s="24" t="s">
        <v>360</v>
      </c>
      <c r="C117" s="24" t="s">
        <v>468</v>
      </c>
      <c r="D117" s="24" t="s">
        <v>378</v>
      </c>
      <c r="E117" s="25">
        <v>90000</v>
      </c>
      <c r="F117" s="25">
        <f t="shared" si="5"/>
        <v>119700</v>
      </c>
      <c r="G117" s="26"/>
      <c r="H117" s="18"/>
    </row>
    <row r="118" spans="1:8" ht="13.75" customHeight="1" x14ac:dyDescent="0.15">
      <c r="A118" s="19" t="s">
        <v>520</v>
      </c>
      <c r="B118" s="20" t="s">
        <v>360</v>
      </c>
      <c r="C118" s="20" t="s">
        <v>468</v>
      </c>
      <c r="D118" s="20" t="s">
        <v>380</v>
      </c>
      <c r="E118" s="21">
        <v>46000</v>
      </c>
      <c r="F118" s="21">
        <f t="shared" si="5"/>
        <v>61180</v>
      </c>
      <c r="G118" s="22"/>
      <c r="H118" s="18"/>
    </row>
    <row r="119" spans="1:8" ht="13.75" customHeight="1" x14ac:dyDescent="0.15">
      <c r="A119" s="23" t="s">
        <v>521</v>
      </c>
      <c r="B119" s="24" t="s">
        <v>360</v>
      </c>
      <c r="C119" s="24" t="s">
        <v>468</v>
      </c>
      <c r="D119" s="24" t="s">
        <v>382</v>
      </c>
      <c r="E119" s="25">
        <v>48000</v>
      </c>
      <c r="F119" s="25">
        <f t="shared" si="5"/>
        <v>63840</v>
      </c>
      <c r="G119" s="26"/>
      <c r="H119" s="18"/>
    </row>
    <row r="120" spans="1:8" ht="13.75" customHeight="1" x14ac:dyDescent="0.15">
      <c r="A120" s="19" t="s">
        <v>522</v>
      </c>
      <c r="B120" s="20" t="s">
        <v>360</v>
      </c>
      <c r="C120" s="20" t="s">
        <v>468</v>
      </c>
      <c r="D120" s="20" t="s">
        <v>447</v>
      </c>
      <c r="E120" s="21">
        <v>74000</v>
      </c>
      <c r="F120" s="21">
        <f t="shared" si="5"/>
        <v>98420</v>
      </c>
      <c r="G120" s="22"/>
      <c r="H120" s="18"/>
    </row>
    <row r="121" spans="1:8" ht="13.75" customHeight="1" x14ac:dyDescent="0.15">
      <c r="A121" s="23" t="s">
        <v>523</v>
      </c>
      <c r="B121" s="24" t="s">
        <v>360</v>
      </c>
      <c r="C121" s="24" t="s">
        <v>468</v>
      </c>
      <c r="D121" s="24" t="s">
        <v>386</v>
      </c>
      <c r="E121" s="25">
        <v>100000</v>
      </c>
      <c r="F121" s="25">
        <f t="shared" si="5"/>
        <v>133000</v>
      </c>
      <c r="G121" s="26"/>
      <c r="H121" s="18"/>
    </row>
    <row r="122" spans="1:8" ht="13.75" customHeight="1" x14ac:dyDescent="0.15">
      <c r="A122" s="19" t="s">
        <v>524</v>
      </c>
      <c r="B122" s="20" t="s">
        <v>388</v>
      </c>
      <c r="C122" s="20" t="s">
        <v>468</v>
      </c>
      <c r="D122" s="20" t="s">
        <v>391</v>
      </c>
      <c r="E122" s="21">
        <v>596000</v>
      </c>
      <c r="F122" s="21">
        <f t="shared" si="5"/>
        <v>792680</v>
      </c>
      <c r="G122" s="22"/>
      <c r="H122" s="18"/>
    </row>
    <row r="123" spans="1:8" ht="13.75" customHeight="1" x14ac:dyDescent="0.15">
      <c r="A123" s="23" t="s">
        <v>525</v>
      </c>
      <c r="B123" s="24" t="s">
        <v>388</v>
      </c>
      <c r="C123" s="24" t="s">
        <v>468</v>
      </c>
      <c r="D123" s="24" t="s">
        <v>526</v>
      </c>
      <c r="E123" s="25">
        <v>1469650</v>
      </c>
      <c r="F123" s="25">
        <f t="shared" si="5"/>
        <v>1955100</v>
      </c>
      <c r="G123" s="26"/>
      <c r="H123" s="18"/>
    </row>
    <row r="124" spans="1:8" ht="13.75" customHeight="1" x14ac:dyDescent="0.15">
      <c r="A124" s="19" t="s">
        <v>527</v>
      </c>
      <c r="B124" s="20" t="s">
        <v>393</v>
      </c>
      <c r="C124" s="20" t="s">
        <v>468</v>
      </c>
      <c r="D124" s="20" t="s">
        <v>514</v>
      </c>
      <c r="E124" s="21">
        <v>991000</v>
      </c>
      <c r="F124" s="21">
        <f t="shared" si="5"/>
        <v>1318030</v>
      </c>
      <c r="G124" s="27" t="s">
        <v>528</v>
      </c>
      <c r="H124" s="18"/>
    </row>
    <row r="125" spans="1:8" ht="13.75" customHeight="1" x14ac:dyDescent="0.15">
      <c r="A125" s="23" t="s">
        <v>529</v>
      </c>
      <c r="B125" s="24" t="s">
        <v>393</v>
      </c>
      <c r="C125" s="24" t="s">
        <v>468</v>
      </c>
      <c r="D125" s="24" t="s">
        <v>530</v>
      </c>
      <c r="E125" s="25">
        <v>789000</v>
      </c>
      <c r="F125" s="25">
        <f t="shared" si="5"/>
        <v>1049370</v>
      </c>
      <c r="G125" s="26"/>
      <c r="H125" s="18"/>
    </row>
    <row r="126" spans="1:8" ht="13.75" customHeight="1" x14ac:dyDescent="0.15">
      <c r="A126" s="19" t="s">
        <v>531</v>
      </c>
      <c r="B126" s="20" t="s">
        <v>393</v>
      </c>
      <c r="C126" s="20" t="s">
        <v>468</v>
      </c>
      <c r="D126" s="20" t="s">
        <v>532</v>
      </c>
      <c r="E126" s="21">
        <v>692000</v>
      </c>
      <c r="F126" s="21">
        <f t="shared" si="5"/>
        <v>920360</v>
      </c>
      <c r="G126" s="22"/>
      <c r="H126" s="18"/>
    </row>
    <row r="127" spans="1:8" ht="13.75" customHeight="1" x14ac:dyDescent="0.15">
      <c r="A127" s="23" t="s">
        <v>533</v>
      </c>
      <c r="B127" s="24" t="s">
        <v>401</v>
      </c>
      <c r="C127" s="24" t="s">
        <v>468</v>
      </c>
      <c r="D127" s="24" t="s">
        <v>534</v>
      </c>
      <c r="E127" s="25">
        <v>1250000</v>
      </c>
      <c r="F127" s="25">
        <v>1250000</v>
      </c>
      <c r="G127" s="26"/>
      <c r="H127" s="18"/>
    </row>
    <row r="128" spans="1:8" ht="13.75" customHeight="1" x14ac:dyDescent="0.15">
      <c r="A128" s="19" t="s">
        <v>535</v>
      </c>
      <c r="B128" s="20" t="s">
        <v>401</v>
      </c>
      <c r="C128" s="20" t="s">
        <v>468</v>
      </c>
      <c r="D128" s="20" t="s">
        <v>536</v>
      </c>
      <c r="E128" s="21">
        <v>60000</v>
      </c>
      <c r="F128" s="21">
        <v>60000</v>
      </c>
      <c r="G128" s="22"/>
      <c r="H128" s="18"/>
    </row>
    <row r="129" spans="1:8" ht="13.75" customHeight="1" x14ac:dyDescent="0.15">
      <c r="A129" s="23" t="s">
        <v>537</v>
      </c>
      <c r="B129" s="24" t="s">
        <v>401</v>
      </c>
      <c r="C129" s="24" t="s">
        <v>468</v>
      </c>
      <c r="D129" s="24" t="s">
        <v>538</v>
      </c>
      <c r="E129" s="25">
        <v>60000</v>
      </c>
      <c r="F129" s="25">
        <v>60000</v>
      </c>
      <c r="G129" s="26"/>
      <c r="H129" s="18"/>
    </row>
    <row r="130" spans="1:8" ht="13.75" customHeight="1" x14ac:dyDescent="0.15">
      <c r="A130" s="19" t="s">
        <v>539</v>
      </c>
      <c r="B130" s="20" t="s">
        <v>401</v>
      </c>
      <c r="C130" s="20" t="s">
        <v>468</v>
      </c>
      <c r="D130" s="20" t="s">
        <v>540</v>
      </c>
      <c r="E130" s="21">
        <v>60000</v>
      </c>
      <c r="F130" s="21">
        <v>60000</v>
      </c>
      <c r="G130" s="22"/>
      <c r="H130" s="18"/>
    </row>
    <row r="131" spans="1:8" ht="13.75" customHeight="1" x14ac:dyDescent="0.15">
      <c r="A131" s="23" t="s">
        <v>541</v>
      </c>
      <c r="B131" s="24" t="s">
        <v>410</v>
      </c>
      <c r="C131" s="24" t="s">
        <v>468</v>
      </c>
      <c r="D131" s="24" t="s">
        <v>411</v>
      </c>
      <c r="E131" s="25">
        <v>667000</v>
      </c>
      <c r="F131" s="25">
        <v>667000</v>
      </c>
      <c r="G131" s="26"/>
      <c r="H131" s="18"/>
    </row>
    <row r="132" spans="1:8" ht="13.75" customHeight="1" x14ac:dyDescent="0.15">
      <c r="A132" s="19" t="s">
        <v>542</v>
      </c>
      <c r="B132" s="20" t="s">
        <v>311</v>
      </c>
      <c r="C132" s="20" t="s">
        <v>543</v>
      </c>
      <c r="D132" s="20" t="s">
        <v>313</v>
      </c>
      <c r="E132" s="21">
        <v>1205146</v>
      </c>
      <c r="F132" s="21">
        <f t="shared" ref="F132:F137" si="6">(CEILING(E132:E132,1000))*1.33</f>
        <v>1603980</v>
      </c>
      <c r="G132" s="22"/>
      <c r="H132" s="18"/>
    </row>
    <row r="133" spans="1:8" ht="13.75" customHeight="1" x14ac:dyDescent="0.15">
      <c r="A133" s="23" t="s">
        <v>544</v>
      </c>
      <c r="B133" s="24" t="s">
        <v>311</v>
      </c>
      <c r="C133" s="24" t="s">
        <v>543</v>
      </c>
      <c r="D133" s="24" t="s">
        <v>315</v>
      </c>
      <c r="E133" s="25">
        <v>1787309</v>
      </c>
      <c r="F133" s="25">
        <f t="shared" si="6"/>
        <v>2378040</v>
      </c>
      <c r="G133" s="26"/>
      <c r="H133" s="18"/>
    </row>
    <row r="134" spans="1:8" ht="13.75" customHeight="1" x14ac:dyDescent="0.15">
      <c r="A134" s="19" t="s">
        <v>545</v>
      </c>
      <c r="B134" s="20" t="s">
        <v>311</v>
      </c>
      <c r="C134" s="20" t="s">
        <v>543</v>
      </c>
      <c r="D134" s="20" t="s">
        <v>317</v>
      </c>
      <c r="E134" s="21">
        <v>3234173</v>
      </c>
      <c r="F134" s="21">
        <f t="shared" si="6"/>
        <v>4302550</v>
      </c>
      <c r="G134" s="27" t="s">
        <v>546</v>
      </c>
      <c r="H134" s="18"/>
    </row>
    <row r="135" spans="1:8" ht="13.75" customHeight="1" x14ac:dyDescent="0.15">
      <c r="A135" s="23" t="s">
        <v>547</v>
      </c>
      <c r="B135" s="24" t="s">
        <v>311</v>
      </c>
      <c r="C135" s="24" t="s">
        <v>543</v>
      </c>
      <c r="D135" s="24" t="s">
        <v>320</v>
      </c>
      <c r="E135" s="25">
        <v>1416100</v>
      </c>
      <c r="F135" s="25">
        <f t="shared" si="6"/>
        <v>1884610</v>
      </c>
      <c r="G135" s="26"/>
      <c r="H135" s="18"/>
    </row>
    <row r="136" spans="1:8" ht="13.75" customHeight="1" x14ac:dyDescent="0.15">
      <c r="A136" s="19" t="s">
        <v>548</v>
      </c>
      <c r="B136" s="20" t="s">
        <v>311</v>
      </c>
      <c r="C136" s="20" t="s">
        <v>543</v>
      </c>
      <c r="D136" s="20" t="s">
        <v>322</v>
      </c>
      <c r="E136" s="21">
        <v>3482143</v>
      </c>
      <c r="F136" s="21">
        <f t="shared" si="6"/>
        <v>4632390</v>
      </c>
      <c r="G136" s="22"/>
      <c r="H136" s="18"/>
    </row>
    <row r="137" spans="1:8" ht="13.75" customHeight="1" x14ac:dyDescent="0.15">
      <c r="A137" s="23" t="s">
        <v>549</v>
      </c>
      <c r="B137" s="24" t="s">
        <v>311</v>
      </c>
      <c r="C137" s="24" t="s">
        <v>543</v>
      </c>
      <c r="D137" s="24" t="s">
        <v>324</v>
      </c>
      <c r="E137" s="25">
        <v>1875858</v>
      </c>
      <c r="F137" s="25">
        <f t="shared" si="6"/>
        <v>2495080</v>
      </c>
      <c r="G137" s="26"/>
      <c r="H137" s="18"/>
    </row>
    <row r="138" spans="1:8" ht="13.75" customHeight="1" x14ac:dyDescent="0.15">
      <c r="A138" s="19" t="s">
        <v>550</v>
      </c>
      <c r="B138" s="20" t="s">
        <v>311</v>
      </c>
      <c r="C138" s="20" t="s">
        <v>543</v>
      </c>
      <c r="D138" s="20" t="s">
        <v>326</v>
      </c>
      <c r="E138" s="21">
        <v>849303</v>
      </c>
      <c r="F138" s="21">
        <v>849303</v>
      </c>
      <c r="G138" s="22"/>
      <c r="H138" s="18"/>
    </row>
    <row r="139" spans="1:8" ht="13.75" customHeight="1" x14ac:dyDescent="0.15">
      <c r="A139" s="23" t="s">
        <v>551</v>
      </c>
      <c r="B139" s="24" t="s">
        <v>311</v>
      </c>
      <c r="C139" s="24" t="s">
        <v>543</v>
      </c>
      <c r="D139" s="24" t="s">
        <v>328</v>
      </c>
      <c r="E139" s="25">
        <v>849303</v>
      </c>
      <c r="F139" s="25">
        <v>849303</v>
      </c>
      <c r="G139" s="26"/>
      <c r="H139" s="18"/>
    </row>
    <row r="140" spans="1:8" ht="13.75" customHeight="1" x14ac:dyDescent="0.15">
      <c r="A140" s="19" t="s">
        <v>552</v>
      </c>
      <c r="B140" s="20" t="s">
        <v>330</v>
      </c>
      <c r="C140" s="20" t="s">
        <v>543</v>
      </c>
      <c r="D140" s="20" t="s">
        <v>331</v>
      </c>
      <c r="E140" s="21">
        <v>695000</v>
      </c>
      <c r="F140" s="21">
        <f t="shared" ref="F140:F178" si="7">(CEILING(E140:E140,1000))*1.33</f>
        <v>924350</v>
      </c>
      <c r="G140" s="22"/>
      <c r="H140" s="18"/>
    </row>
    <row r="141" spans="1:8" ht="13.75" customHeight="1" x14ac:dyDescent="0.15">
      <c r="A141" s="23" t="s">
        <v>553</v>
      </c>
      <c r="B141" s="24" t="s">
        <v>330</v>
      </c>
      <c r="C141" s="24" t="s">
        <v>543</v>
      </c>
      <c r="D141" s="24" t="s">
        <v>424</v>
      </c>
      <c r="E141" s="25">
        <v>1063000</v>
      </c>
      <c r="F141" s="25">
        <f t="shared" si="7"/>
        <v>1413790</v>
      </c>
      <c r="G141" s="26"/>
      <c r="H141" s="18"/>
    </row>
    <row r="142" spans="1:8" ht="13.75" customHeight="1" x14ac:dyDescent="0.15">
      <c r="A142" s="19" t="s">
        <v>554</v>
      </c>
      <c r="B142" s="20" t="s">
        <v>330</v>
      </c>
      <c r="C142" s="20" t="s">
        <v>543</v>
      </c>
      <c r="D142" s="20" t="s">
        <v>480</v>
      </c>
      <c r="E142" s="21">
        <v>129000</v>
      </c>
      <c r="F142" s="21">
        <f t="shared" si="7"/>
        <v>171570</v>
      </c>
      <c r="G142" s="22"/>
      <c r="H142" s="18"/>
    </row>
    <row r="143" spans="1:8" ht="13.75" customHeight="1" x14ac:dyDescent="0.15">
      <c r="A143" s="23" t="s">
        <v>555</v>
      </c>
      <c r="B143" s="24" t="s">
        <v>330</v>
      </c>
      <c r="C143" s="24" t="s">
        <v>543</v>
      </c>
      <c r="D143" s="24" t="s">
        <v>482</v>
      </c>
      <c r="E143" s="25">
        <v>386000</v>
      </c>
      <c r="F143" s="25">
        <f t="shared" si="7"/>
        <v>513380</v>
      </c>
      <c r="G143" s="26"/>
      <c r="H143" s="18"/>
    </row>
    <row r="144" spans="1:8" ht="13.75" customHeight="1" x14ac:dyDescent="0.15">
      <c r="A144" s="19" t="s">
        <v>556</v>
      </c>
      <c r="B144" s="20" t="s">
        <v>340</v>
      </c>
      <c r="C144" s="20" t="s">
        <v>543</v>
      </c>
      <c r="D144" s="20" t="s">
        <v>557</v>
      </c>
      <c r="E144" s="21">
        <v>10576063</v>
      </c>
      <c r="F144" s="21">
        <f t="shared" si="7"/>
        <v>14067410</v>
      </c>
      <c r="G144" s="22"/>
      <c r="H144" s="18"/>
    </row>
    <row r="145" spans="1:8" ht="13.75" customHeight="1" x14ac:dyDescent="0.15">
      <c r="A145" s="23" t="s">
        <v>558</v>
      </c>
      <c r="B145" s="24" t="s">
        <v>340</v>
      </c>
      <c r="C145" s="24" t="s">
        <v>543</v>
      </c>
      <c r="D145" s="24" t="s">
        <v>559</v>
      </c>
      <c r="E145" s="25">
        <v>2681945</v>
      </c>
      <c r="F145" s="25">
        <f t="shared" si="7"/>
        <v>3567060</v>
      </c>
      <c r="G145" s="26"/>
      <c r="H145" s="18"/>
    </row>
    <row r="146" spans="1:8" ht="13.75" customHeight="1" x14ac:dyDescent="0.15">
      <c r="A146" s="19" t="s">
        <v>560</v>
      </c>
      <c r="B146" s="20" t="s">
        <v>340</v>
      </c>
      <c r="C146" s="20" t="s">
        <v>543</v>
      </c>
      <c r="D146" s="20" t="s">
        <v>561</v>
      </c>
      <c r="E146" s="21">
        <v>4654702</v>
      </c>
      <c r="F146" s="21">
        <f t="shared" si="7"/>
        <v>6191150</v>
      </c>
      <c r="G146" s="22"/>
      <c r="H146" s="18"/>
    </row>
    <row r="147" spans="1:8" ht="13.75" customHeight="1" x14ac:dyDescent="0.15">
      <c r="A147" s="23" t="s">
        <v>562</v>
      </c>
      <c r="B147" s="24" t="s">
        <v>340</v>
      </c>
      <c r="C147" s="24" t="s">
        <v>543</v>
      </c>
      <c r="D147" s="24" t="s">
        <v>563</v>
      </c>
      <c r="E147" s="25">
        <v>3177998</v>
      </c>
      <c r="F147" s="25">
        <f t="shared" si="7"/>
        <v>4226740</v>
      </c>
      <c r="G147" s="26"/>
      <c r="H147" s="18"/>
    </row>
    <row r="148" spans="1:8" ht="13.75" customHeight="1" x14ac:dyDescent="0.15">
      <c r="A148" s="19" t="s">
        <v>564</v>
      </c>
      <c r="B148" s="20" t="s">
        <v>340</v>
      </c>
      <c r="C148" s="20" t="s">
        <v>543</v>
      </c>
      <c r="D148" s="20" t="s">
        <v>565</v>
      </c>
      <c r="E148" s="21">
        <v>10501050</v>
      </c>
      <c r="F148" s="21">
        <f t="shared" si="7"/>
        <v>13967660</v>
      </c>
      <c r="G148" s="22"/>
      <c r="H148" s="18"/>
    </row>
    <row r="149" spans="1:8" ht="13.75" customHeight="1" x14ac:dyDescent="0.15">
      <c r="A149" s="23" t="s">
        <v>566</v>
      </c>
      <c r="B149" s="24" t="s">
        <v>343</v>
      </c>
      <c r="C149" s="24" t="s">
        <v>543</v>
      </c>
      <c r="D149" s="24" t="s">
        <v>496</v>
      </c>
      <c r="E149" s="25">
        <v>1167000</v>
      </c>
      <c r="F149" s="25">
        <f t="shared" si="7"/>
        <v>1552110</v>
      </c>
      <c r="G149" s="26"/>
      <c r="H149" s="18"/>
    </row>
    <row r="150" spans="1:8" ht="13.75" customHeight="1" x14ac:dyDescent="0.15">
      <c r="A150" s="19" t="s">
        <v>567</v>
      </c>
      <c r="B150" s="20" t="s">
        <v>343</v>
      </c>
      <c r="C150" s="20" t="s">
        <v>543</v>
      </c>
      <c r="D150" s="20" t="s">
        <v>498</v>
      </c>
      <c r="E150" s="21">
        <v>1277000</v>
      </c>
      <c r="F150" s="21">
        <f t="shared" si="7"/>
        <v>1698410</v>
      </c>
      <c r="G150" s="22"/>
      <c r="H150" s="18"/>
    </row>
    <row r="151" spans="1:8" ht="13.75" customHeight="1" x14ac:dyDescent="0.15">
      <c r="A151" s="23" t="s">
        <v>568</v>
      </c>
      <c r="B151" s="24" t="s">
        <v>350</v>
      </c>
      <c r="C151" s="24" t="s">
        <v>543</v>
      </c>
      <c r="D151" s="24" t="s">
        <v>569</v>
      </c>
      <c r="E151" s="25">
        <v>986272</v>
      </c>
      <c r="F151" s="25">
        <f t="shared" si="7"/>
        <v>1312710</v>
      </c>
      <c r="G151" s="26"/>
      <c r="H151" s="18"/>
    </row>
    <row r="152" spans="1:8" ht="13.75" customHeight="1" x14ac:dyDescent="0.15">
      <c r="A152" s="19" t="s">
        <v>570</v>
      </c>
      <c r="B152" s="20" t="s">
        <v>357</v>
      </c>
      <c r="C152" s="20" t="s">
        <v>543</v>
      </c>
      <c r="D152" s="20" t="s">
        <v>571</v>
      </c>
      <c r="E152" s="21">
        <v>1270920</v>
      </c>
      <c r="F152" s="21">
        <f t="shared" si="7"/>
        <v>1690430</v>
      </c>
      <c r="G152" s="22"/>
      <c r="H152" s="18"/>
    </row>
    <row r="153" spans="1:8" ht="13.75" customHeight="1" x14ac:dyDescent="0.15">
      <c r="A153" s="23" t="s">
        <v>572</v>
      </c>
      <c r="B153" s="24" t="s">
        <v>573</v>
      </c>
      <c r="C153" s="24" t="s">
        <v>543</v>
      </c>
      <c r="D153" s="24" t="s">
        <v>574</v>
      </c>
      <c r="E153" s="25">
        <v>37669611</v>
      </c>
      <c r="F153" s="25">
        <f t="shared" si="7"/>
        <v>50101100</v>
      </c>
      <c r="G153" s="26"/>
      <c r="H153" s="18"/>
    </row>
    <row r="154" spans="1:8" ht="13.75" customHeight="1" x14ac:dyDescent="0.15">
      <c r="A154" s="19" t="s">
        <v>575</v>
      </c>
      <c r="B154" s="20" t="s">
        <v>573</v>
      </c>
      <c r="C154" s="20" t="s">
        <v>543</v>
      </c>
      <c r="D154" s="20" t="s">
        <v>576</v>
      </c>
      <c r="E154" s="21">
        <v>14265323</v>
      </c>
      <c r="F154" s="21">
        <f t="shared" si="7"/>
        <v>18973780</v>
      </c>
      <c r="G154" s="22"/>
      <c r="H154" s="18"/>
    </row>
    <row r="155" spans="1:8" ht="13.75" customHeight="1" x14ac:dyDescent="0.15">
      <c r="A155" s="23" t="s">
        <v>577</v>
      </c>
      <c r="B155" s="24" t="s">
        <v>360</v>
      </c>
      <c r="C155" s="24" t="s">
        <v>543</v>
      </c>
      <c r="D155" s="24" t="s">
        <v>578</v>
      </c>
      <c r="E155" s="25">
        <v>1839000</v>
      </c>
      <c r="F155" s="25">
        <f t="shared" si="7"/>
        <v>2445870</v>
      </c>
      <c r="G155" s="26"/>
      <c r="H155" s="18"/>
    </row>
    <row r="156" spans="1:8" ht="13.75" customHeight="1" x14ac:dyDescent="0.15">
      <c r="A156" s="19" t="s">
        <v>579</v>
      </c>
      <c r="B156" s="20" t="s">
        <v>360</v>
      </c>
      <c r="C156" s="20" t="s">
        <v>543</v>
      </c>
      <c r="D156" s="20" t="s">
        <v>442</v>
      </c>
      <c r="E156" s="21">
        <v>667000</v>
      </c>
      <c r="F156" s="21">
        <f t="shared" si="7"/>
        <v>887110</v>
      </c>
      <c r="G156" s="22"/>
      <c r="H156" s="18"/>
    </row>
    <row r="157" spans="1:8" ht="13.75" customHeight="1" x14ac:dyDescent="0.15">
      <c r="A157" s="23" t="s">
        <v>580</v>
      </c>
      <c r="B157" s="24" t="s">
        <v>360</v>
      </c>
      <c r="C157" s="24" t="s">
        <v>543</v>
      </c>
      <c r="D157" s="24" t="s">
        <v>366</v>
      </c>
      <c r="E157" s="25">
        <v>36000</v>
      </c>
      <c r="F157" s="25">
        <f t="shared" si="7"/>
        <v>47880</v>
      </c>
      <c r="G157" s="26"/>
      <c r="H157" s="18"/>
    </row>
    <row r="158" spans="1:8" ht="13.75" customHeight="1" x14ac:dyDescent="0.15">
      <c r="A158" s="19" t="s">
        <v>581</v>
      </c>
      <c r="B158" s="20" t="s">
        <v>360</v>
      </c>
      <c r="C158" s="20" t="s">
        <v>543</v>
      </c>
      <c r="D158" s="20" t="s">
        <v>370</v>
      </c>
      <c r="E158" s="21">
        <v>500000</v>
      </c>
      <c r="F158" s="21">
        <f t="shared" si="7"/>
        <v>665000</v>
      </c>
      <c r="G158" s="22"/>
      <c r="H158" s="18"/>
    </row>
    <row r="159" spans="1:8" ht="13.75" customHeight="1" x14ac:dyDescent="0.15">
      <c r="A159" s="23" t="s">
        <v>582</v>
      </c>
      <c r="B159" s="24" t="s">
        <v>360</v>
      </c>
      <c r="C159" s="24" t="s">
        <v>543</v>
      </c>
      <c r="D159" s="24" t="s">
        <v>374</v>
      </c>
      <c r="E159" s="25">
        <v>69000</v>
      </c>
      <c r="F159" s="25">
        <f t="shared" si="7"/>
        <v>91770</v>
      </c>
      <c r="G159" s="26"/>
      <c r="H159" s="18"/>
    </row>
    <row r="160" spans="1:8" ht="13.75" customHeight="1" x14ac:dyDescent="0.15">
      <c r="A160" s="19" t="s">
        <v>583</v>
      </c>
      <c r="B160" s="20" t="s">
        <v>360</v>
      </c>
      <c r="C160" s="20" t="s">
        <v>543</v>
      </c>
      <c r="D160" s="20" t="s">
        <v>376</v>
      </c>
      <c r="E160" s="21">
        <v>170000</v>
      </c>
      <c r="F160" s="21">
        <f t="shared" si="7"/>
        <v>226100</v>
      </c>
      <c r="G160" s="22"/>
      <c r="H160" s="18"/>
    </row>
    <row r="161" spans="1:8" ht="13.75" customHeight="1" x14ac:dyDescent="0.15">
      <c r="A161" s="23" t="s">
        <v>584</v>
      </c>
      <c r="B161" s="24" t="s">
        <v>360</v>
      </c>
      <c r="C161" s="24" t="s">
        <v>543</v>
      </c>
      <c r="D161" s="24" t="s">
        <v>378</v>
      </c>
      <c r="E161" s="25">
        <v>119000</v>
      </c>
      <c r="F161" s="25">
        <f t="shared" si="7"/>
        <v>158270</v>
      </c>
      <c r="G161" s="26"/>
      <c r="H161" s="18"/>
    </row>
    <row r="162" spans="1:8" ht="13.75" customHeight="1" x14ac:dyDescent="0.15">
      <c r="A162" s="19" t="s">
        <v>585</v>
      </c>
      <c r="B162" s="20" t="s">
        <v>360</v>
      </c>
      <c r="C162" s="20" t="s">
        <v>543</v>
      </c>
      <c r="D162" s="20" t="s">
        <v>380</v>
      </c>
      <c r="E162" s="21">
        <v>63000</v>
      </c>
      <c r="F162" s="21">
        <f t="shared" si="7"/>
        <v>83790</v>
      </c>
      <c r="G162" s="22"/>
      <c r="H162" s="18"/>
    </row>
    <row r="163" spans="1:8" ht="13.75" customHeight="1" x14ac:dyDescent="0.15">
      <c r="A163" s="23" t="s">
        <v>586</v>
      </c>
      <c r="B163" s="24" t="s">
        <v>360</v>
      </c>
      <c r="C163" s="24" t="s">
        <v>543</v>
      </c>
      <c r="D163" s="24" t="s">
        <v>382</v>
      </c>
      <c r="E163" s="25">
        <v>96000</v>
      </c>
      <c r="F163" s="25">
        <f t="shared" si="7"/>
        <v>127680</v>
      </c>
      <c r="G163" s="26"/>
      <c r="H163" s="18"/>
    </row>
    <row r="164" spans="1:8" ht="13.75" customHeight="1" x14ac:dyDescent="0.15">
      <c r="A164" s="19" t="s">
        <v>587</v>
      </c>
      <c r="B164" s="20" t="s">
        <v>388</v>
      </c>
      <c r="C164" s="20" t="s">
        <v>543</v>
      </c>
      <c r="D164" s="20" t="s">
        <v>588</v>
      </c>
      <c r="E164" s="21">
        <v>1339000</v>
      </c>
      <c r="F164" s="21">
        <f t="shared" si="7"/>
        <v>1780870</v>
      </c>
      <c r="G164" s="22"/>
      <c r="H164" s="18"/>
    </row>
    <row r="165" spans="1:8" ht="13.75" customHeight="1" x14ac:dyDescent="0.15">
      <c r="A165" s="23" t="s">
        <v>589</v>
      </c>
      <c r="B165" s="24" t="s">
        <v>388</v>
      </c>
      <c r="C165" s="24" t="s">
        <v>543</v>
      </c>
      <c r="D165" s="24" t="s">
        <v>590</v>
      </c>
      <c r="E165" s="25">
        <v>148000</v>
      </c>
      <c r="F165" s="25">
        <f t="shared" si="7"/>
        <v>196840</v>
      </c>
      <c r="G165" s="26"/>
      <c r="H165" s="18"/>
    </row>
    <row r="166" spans="1:8" ht="13.75" customHeight="1" x14ac:dyDescent="0.15">
      <c r="A166" s="19" t="s">
        <v>591</v>
      </c>
      <c r="B166" s="20" t="s">
        <v>393</v>
      </c>
      <c r="C166" s="20" t="s">
        <v>543</v>
      </c>
      <c r="D166" s="20" t="s">
        <v>592</v>
      </c>
      <c r="E166" s="21">
        <v>343000</v>
      </c>
      <c r="F166" s="21">
        <f t="shared" si="7"/>
        <v>456190</v>
      </c>
      <c r="G166" s="22"/>
      <c r="H166" s="18"/>
    </row>
    <row r="167" spans="1:8" ht="13.75" customHeight="1" x14ac:dyDescent="0.15">
      <c r="A167" s="23" t="s">
        <v>593</v>
      </c>
      <c r="B167" s="24" t="s">
        <v>393</v>
      </c>
      <c r="C167" s="24" t="s">
        <v>543</v>
      </c>
      <c r="D167" s="24" t="s">
        <v>532</v>
      </c>
      <c r="E167" s="25">
        <v>396000</v>
      </c>
      <c r="F167" s="25">
        <f t="shared" si="7"/>
        <v>526680</v>
      </c>
      <c r="G167" s="26"/>
      <c r="H167" s="18"/>
    </row>
    <row r="168" spans="1:8" ht="13.75" customHeight="1" x14ac:dyDescent="0.15">
      <c r="A168" s="19" t="s">
        <v>594</v>
      </c>
      <c r="B168" s="20" t="s">
        <v>393</v>
      </c>
      <c r="C168" s="20" t="s">
        <v>543</v>
      </c>
      <c r="D168" s="20" t="s">
        <v>595</v>
      </c>
      <c r="E168" s="21">
        <v>2602530</v>
      </c>
      <c r="F168" s="21">
        <f t="shared" si="7"/>
        <v>3461990</v>
      </c>
      <c r="G168" s="22"/>
      <c r="H168" s="18"/>
    </row>
    <row r="169" spans="1:8" ht="13.75" customHeight="1" x14ac:dyDescent="0.15">
      <c r="A169" s="23" t="s">
        <v>596</v>
      </c>
      <c r="B169" s="24" t="s">
        <v>393</v>
      </c>
      <c r="C169" s="24" t="s">
        <v>543</v>
      </c>
      <c r="D169" s="24" t="s">
        <v>597</v>
      </c>
      <c r="E169" s="25">
        <v>708050</v>
      </c>
      <c r="F169" s="25">
        <f t="shared" si="7"/>
        <v>942970</v>
      </c>
      <c r="G169" s="26"/>
      <c r="H169" s="18"/>
    </row>
    <row r="170" spans="1:8" ht="13.75" customHeight="1" x14ac:dyDescent="0.15">
      <c r="A170" s="19" t="s">
        <v>598</v>
      </c>
      <c r="B170" s="20" t="s">
        <v>393</v>
      </c>
      <c r="C170" s="20" t="s">
        <v>543</v>
      </c>
      <c r="D170" s="20" t="s">
        <v>599</v>
      </c>
      <c r="E170" s="21">
        <v>324870</v>
      </c>
      <c r="F170" s="21">
        <f t="shared" si="7"/>
        <v>432250</v>
      </c>
      <c r="G170" s="22"/>
      <c r="H170" s="18"/>
    </row>
    <row r="171" spans="1:8" ht="13.75" customHeight="1" x14ac:dyDescent="0.15">
      <c r="A171" s="23" t="s">
        <v>600</v>
      </c>
      <c r="B171" s="24" t="s">
        <v>393</v>
      </c>
      <c r="C171" s="24" t="s">
        <v>543</v>
      </c>
      <c r="D171" s="24" t="s">
        <v>601</v>
      </c>
      <c r="E171" s="25">
        <v>4498200</v>
      </c>
      <c r="F171" s="25">
        <f t="shared" si="7"/>
        <v>5983670</v>
      </c>
      <c r="G171" s="26"/>
      <c r="H171" s="18"/>
    </row>
    <row r="172" spans="1:8" ht="13.75" customHeight="1" x14ac:dyDescent="0.15">
      <c r="A172" s="19" t="s">
        <v>602</v>
      </c>
      <c r="B172" s="20" t="s">
        <v>393</v>
      </c>
      <c r="C172" s="20" t="s">
        <v>543</v>
      </c>
      <c r="D172" s="20" t="s">
        <v>603</v>
      </c>
      <c r="E172" s="21">
        <v>308448</v>
      </c>
      <c r="F172" s="21">
        <f t="shared" si="7"/>
        <v>410970</v>
      </c>
      <c r="G172" s="22"/>
      <c r="H172" s="18"/>
    </row>
    <row r="173" spans="1:8" ht="13.75" customHeight="1" x14ac:dyDescent="0.15">
      <c r="A173" s="23" t="s">
        <v>604</v>
      </c>
      <c r="B173" s="24" t="s">
        <v>393</v>
      </c>
      <c r="C173" s="24" t="s">
        <v>543</v>
      </c>
      <c r="D173" s="24" t="s">
        <v>605</v>
      </c>
      <c r="E173" s="25">
        <v>404600</v>
      </c>
      <c r="F173" s="25">
        <f t="shared" si="7"/>
        <v>538650</v>
      </c>
      <c r="G173" s="26"/>
      <c r="H173" s="18"/>
    </row>
    <row r="174" spans="1:8" ht="13.75" customHeight="1" x14ac:dyDescent="0.15">
      <c r="A174" s="19" t="s">
        <v>606</v>
      </c>
      <c r="B174" s="20" t="s">
        <v>393</v>
      </c>
      <c r="C174" s="20" t="s">
        <v>543</v>
      </c>
      <c r="D174" s="20" t="s">
        <v>607</v>
      </c>
      <c r="E174" s="21">
        <v>1391110</v>
      </c>
      <c r="F174" s="21">
        <f t="shared" si="7"/>
        <v>1851360</v>
      </c>
      <c r="G174" s="22"/>
      <c r="H174" s="18"/>
    </row>
    <row r="175" spans="1:8" ht="13.75" customHeight="1" x14ac:dyDescent="0.15">
      <c r="A175" s="23" t="s">
        <v>608</v>
      </c>
      <c r="B175" s="24" t="s">
        <v>393</v>
      </c>
      <c r="C175" s="24" t="s">
        <v>543</v>
      </c>
      <c r="D175" s="24" t="s">
        <v>609</v>
      </c>
      <c r="E175" s="25">
        <v>1604715</v>
      </c>
      <c r="F175" s="25">
        <f t="shared" si="7"/>
        <v>2134650</v>
      </c>
      <c r="G175" s="26"/>
      <c r="H175" s="18"/>
    </row>
    <row r="176" spans="1:8" ht="13.75" customHeight="1" x14ac:dyDescent="0.15">
      <c r="A176" s="19" t="s">
        <v>610</v>
      </c>
      <c r="B176" s="20" t="s">
        <v>393</v>
      </c>
      <c r="C176" s="20" t="s">
        <v>543</v>
      </c>
      <c r="D176" s="20" t="s">
        <v>611</v>
      </c>
      <c r="E176" s="21">
        <v>2695350</v>
      </c>
      <c r="F176" s="21">
        <f t="shared" si="7"/>
        <v>3585680</v>
      </c>
      <c r="G176" s="22"/>
      <c r="H176" s="18"/>
    </row>
    <row r="177" spans="1:8" ht="13.75" customHeight="1" x14ac:dyDescent="0.15">
      <c r="A177" s="23" t="s">
        <v>612</v>
      </c>
      <c r="B177" s="24" t="s">
        <v>393</v>
      </c>
      <c r="C177" s="24" t="s">
        <v>543</v>
      </c>
      <c r="D177" s="24" t="s">
        <v>613</v>
      </c>
      <c r="E177" s="25">
        <v>166600</v>
      </c>
      <c r="F177" s="25">
        <f t="shared" si="7"/>
        <v>222110</v>
      </c>
      <c r="G177" s="26"/>
      <c r="H177" s="18"/>
    </row>
    <row r="178" spans="1:8" ht="13.75" customHeight="1" x14ac:dyDescent="0.15">
      <c r="A178" s="19" t="s">
        <v>614</v>
      </c>
      <c r="B178" s="20" t="s">
        <v>393</v>
      </c>
      <c r="C178" s="20" t="s">
        <v>543</v>
      </c>
      <c r="D178" s="20" t="s">
        <v>615</v>
      </c>
      <c r="E178" s="21">
        <v>1071000</v>
      </c>
      <c r="F178" s="21">
        <f t="shared" si="7"/>
        <v>1424430</v>
      </c>
      <c r="G178" s="22"/>
      <c r="H178" s="18"/>
    </row>
    <row r="179" spans="1:8" ht="13.75" customHeight="1" x14ac:dyDescent="0.15">
      <c r="A179" s="23" t="s">
        <v>616</v>
      </c>
      <c r="B179" s="24" t="s">
        <v>401</v>
      </c>
      <c r="C179" s="24" t="s">
        <v>543</v>
      </c>
      <c r="D179" s="24" t="s">
        <v>534</v>
      </c>
      <c r="E179" s="25">
        <v>2166000</v>
      </c>
      <c r="F179" s="25">
        <v>2166000</v>
      </c>
      <c r="G179" s="26"/>
      <c r="H179" s="18"/>
    </row>
    <row r="180" spans="1:8" ht="13.75" customHeight="1" x14ac:dyDescent="0.15">
      <c r="A180" s="19" t="s">
        <v>617</v>
      </c>
      <c r="B180" s="20" t="s">
        <v>401</v>
      </c>
      <c r="C180" s="20" t="s">
        <v>543</v>
      </c>
      <c r="D180" s="20" t="s">
        <v>536</v>
      </c>
      <c r="E180" s="21">
        <v>60000</v>
      </c>
      <c r="F180" s="21">
        <v>60000</v>
      </c>
      <c r="G180" s="22"/>
      <c r="H180" s="18"/>
    </row>
    <row r="181" spans="1:8" ht="13.75" customHeight="1" x14ac:dyDescent="0.15">
      <c r="A181" s="23" t="s">
        <v>618</v>
      </c>
      <c r="B181" s="24" t="s">
        <v>401</v>
      </c>
      <c r="C181" s="24" t="s">
        <v>543</v>
      </c>
      <c r="D181" s="24" t="s">
        <v>406</v>
      </c>
      <c r="E181" s="25">
        <v>60000</v>
      </c>
      <c r="F181" s="25">
        <v>60000</v>
      </c>
      <c r="G181" s="26"/>
      <c r="H181" s="18"/>
    </row>
    <row r="182" spans="1:8" ht="13.75" customHeight="1" x14ac:dyDescent="0.15">
      <c r="A182" s="19" t="s">
        <v>619</v>
      </c>
      <c r="B182" s="20" t="s">
        <v>401</v>
      </c>
      <c r="C182" s="20" t="s">
        <v>543</v>
      </c>
      <c r="D182" s="20" t="s">
        <v>620</v>
      </c>
      <c r="E182" s="21">
        <v>60000</v>
      </c>
      <c r="F182" s="21">
        <v>60000</v>
      </c>
      <c r="G182" s="22"/>
      <c r="H182" s="18"/>
    </row>
    <row r="183" spans="1:8" ht="13.75" customHeight="1" x14ac:dyDescent="0.15">
      <c r="A183" s="23" t="s">
        <v>621</v>
      </c>
      <c r="B183" s="24" t="s">
        <v>410</v>
      </c>
      <c r="C183" s="24" t="s">
        <v>543</v>
      </c>
      <c r="D183" s="24" t="s">
        <v>411</v>
      </c>
      <c r="E183" s="25">
        <v>1125000</v>
      </c>
      <c r="F183" s="25">
        <v>1125000</v>
      </c>
      <c r="G183" s="26"/>
      <c r="H183" s="18"/>
    </row>
    <row r="184" spans="1:8" ht="13.75" customHeight="1" x14ac:dyDescent="0.15">
      <c r="A184" s="29"/>
      <c r="B184" s="29"/>
      <c r="C184" s="29"/>
      <c r="D184" s="29"/>
      <c r="E184" s="30"/>
      <c r="F184" s="30"/>
      <c r="G184" s="29"/>
      <c r="H184" s="31"/>
    </row>
  </sheetData>
  <dataValidations count="2">
    <dataValidation type="list" allowBlank="1" showInputMessage="1" showErrorMessage="1" sqref="B2:B183" xr:uid="{00000000-0002-0000-0200-000000000000}">
      <formula1>"Modernization / Reconfigure Existing Classrooms,Site Utilities,New Construction (Classrooms),Multipurpose Room (MPR) &amp; Food Service,Library,Student Support &amp; Counseling,Administration &amp; Staff Support,Physical Education Improvements,Safety and Security"</formula1>
    </dataValidation>
    <dataValidation type="list" allowBlank="1" showInputMessage="1" showErrorMessage="1" sqref="C2:C183" xr:uid="{00000000-0002-0000-0200-000001000000}">
      <formula1>"Carver,Valentine,Huntington,SMHS,Del Mar Field,District Office,Maintenance Yard,Hill-Harbison Property"</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4"/>
  <sheetViews>
    <sheetView showGridLines="0" zoomScale="210" zoomScaleNormal="210" workbookViewId="0">
      <selection activeCell="D47" sqref="D47"/>
    </sheetView>
  </sheetViews>
  <sheetFormatPr baseColWidth="10" defaultColWidth="8.59765625" defaultRowHeight="13" customHeight="1" x14ac:dyDescent="0.15"/>
  <cols>
    <col min="1" max="1" width="7.19921875" style="5" customWidth="1"/>
    <col min="2" max="2" width="48.59765625" style="5" customWidth="1"/>
    <col min="3" max="3" width="11.3984375" style="5" customWidth="1"/>
    <col min="4" max="4" width="62.59765625" style="5" customWidth="1"/>
    <col min="5" max="5" width="14.796875" style="5" customWidth="1"/>
    <col min="6" max="6" width="19.3984375" style="5" customWidth="1"/>
    <col min="7" max="7" width="12" style="5" customWidth="1"/>
    <col min="8" max="8" width="68.3984375" style="5" customWidth="1"/>
    <col min="9" max="10" width="8.59765625" style="5" customWidth="1"/>
    <col min="11" max="16384" width="8.59765625" style="5"/>
  </cols>
  <sheetData>
    <row r="1" spans="1:9" ht="13.75" customHeight="1" x14ac:dyDescent="0.15">
      <c r="A1" s="32" t="s">
        <v>303</v>
      </c>
      <c r="B1" s="33" t="s">
        <v>304</v>
      </c>
      <c r="C1" s="33" t="s">
        <v>305</v>
      </c>
      <c r="D1" s="33" t="s">
        <v>306</v>
      </c>
      <c r="E1" s="33" t="s">
        <v>307</v>
      </c>
      <c r="F1" s="33" t="s">
        <v>308</v>
      </c>
      <c r="G1" s="33" t="s">
        <v>623</v>
      </c>
      <c r="H1" s="34" t="s">
        <v>309</v>
      </c>
      <c r="I1" s="35"/>
    </row>
    <row r="2" spans="1:9" ht="9" hidden="1" customHeight="1" x14ac:dyDescent="0.15">
      <c r="A2" s="36" t="s">
        <v>600</v>
      </c>
      <c r="B2" s="37" t="s">
        <v>393</v>
      </c>
      <c r="C2" s="37" t="s">
        <v>543</v>
      </c>
      <c r="D2" s="37" t="s">
        <v>601</v>
      </c>
      <c r="E2" s="38">
        <v>4498200</v>
      </c>
      <c r="F2" s="38">
        <f t="shared" ref="F2:F35" si="0">(CEILING(E2:E2,1000))*1.33</f>
        <v>5983670</v>
      </c>
      <c r="G2" s="37" t="s">
        <v>624</v>
      </c>
      <c r="H2" s="39"/>
      <c r="I2" s="35"/>
    </row>
    <row r="3" spans="1:9" ht="9" hidden="1" customHeight="1" x14ac:dyDescent="0.15">
      <c r="A3" s="40" t="s">
        <v>397</v>
      </c>
      <c r="B3" s="41" t="s">
        <v>393</v>
      </c>
      <c r="C3" s="41" t="s">
        <v>312</v>
      </c>
      <c r="D3" s="42" t="s">
        <v>398</v>
      </c>
      <c r="E3" s="43">
        <v>3600000</v>
      </c>
      <c r="F3" s="43">
        <f t="shared" si="0"/>
        <v>4788000</v>
      </c>
      <c r="G3" s="44" t="s">
        <v>624</v>
      </c>
      <c r="H3" s="45" t="s">
        <v>625</v>
      </c>
      <c r="I3" s="35"/>
    </row>
    <row r="4" spans="1:9" ht="9" hidden="1" customHeight="1" x14ac:dyDescent="0.15">
      <c r="A4" s="36" t="s">
        <v>594</v>
      </c>
      <c r="B4" s="37" t="s">
        <v>393</v>
      </c>
      <c r="C4" s="37" t="s">
        <v>543</v>
      </c>
      <c r="D4" s="37" t="s">
        <v>595</v>
      </c>
      <c r="E4" s="38">
        <v>2602530</v>
      </c>
      <c r="F4" s="38">
        <f t="shared" si="0"/>
        <v>3461990</v>
      </c>
      <c r="G4" s="37" t="s">
        <v>624</v>
      </c>
      <c r="H4" s="39"/>
      <c r="I4" s="35"/>
    </row>
    <row r="5" spans="1:9" ht="13.75" customHeight="1" x14ac:dyDescent="0.15">
      <c r="A5" s="40" t="s">
        <v>462</v>
      </c>
      <c r="B5" s="41" t="s">
        <v>393</v>
      </c>
      <c r="C5" s="41" t="s">
        <v>413</v>
      </c>
      <c r="D5" s="42" t="s">
        <v>398</v>
      </c>
      <c r="E5" s="43">
        <v>1800000</v>
      </c>
      <c r="F5" s="43">
        <f t="shared" si="0"/>
        <v>2394000</v>
      </c>
      <c r="G5" s="44" t="s">
        <v>624</v>
      </c>
      <c r="H5" s="45" t="s">
        <v>626</v>
      </c>
      <c r="I5" s="35"/>
    </row>
    <row r="6" spans="1:9" ht="9" hidden="1" customHeight="1" x14ac:dyDescent="0.15">
      <c r="A6" s="36" t="s">
        <v>608</v>
      </c>
      <c r="B6" s="37" t="s">
        <v>393</v>
      </c>
      <c r="C6" s="37" t="s">
        <v>543</v>
      </c>
      <c r="D6" s="37" t="s">
        <v>609</v>
      </c>
      <c r="E6" s="38">
        <v>1604715</v>
      </c>
      <c r="F6" s="38">
        <f t="shared" si="0"/>
        <v>2134650</v>
      </c>
      <c r="G6" s="37" t="s">
        <v>624</v>
      </c>
      <c r="H6" s="39"/>
      <c r="I6" s="35"/>
    </row>
    <row r="7" spans="1:9" ht="9" hidden="1" customHeight="1" x14ac:dyDescent="0.15">
      <c r="A7" s="40" t="s">
        <v>606</v>
      </c>
      <c r="B7" s="41" t="s">
        <v>393</v>
      </c>
      <c r="C7" s="41" t="s">
        <v>543</v>
      </c>
      <c r="D7" s="41" t="s">
        <v>607</v>
      </c>
      <c r="E7" s="46">
        <v>1391110</v>
      </c>
      <c r="F7" s="46">
        <f t="shared" si="0"/>
        <v>1851360</v>
      </c>
      <c r="G7" s="41" t="s">
        <v>624</v>
      </c>
      <c r="H7" s="47"/>
      <c r="I7" s="35"/>
    </row>
    <row r="8" spans="1:9" ht="9" hidden="1" customHeight="1" x14ac:dyDescent="0.15">
      <c r="A8" s="36" t="s">
        <v>392</v>
      </c>
      <c r="B8" s="37" t="s">
        <v>393</v>
      </c>
      <c r="C8" s="37" t="s">
        <v>312</v>
      </c>
      <c r="D8" s="37" t="s">
        <v>394</v>
      </c>
      <c r="E8" s="43">
        <v>800000</v>
      </c>
      <c r="F8" s="43">
        <f t="shared" si="0"/>
        <v>1064000</v>
      </c>
      <c r="G8" s="37" t="s">
        <v>624</v>
      </c>
      <c r="H8" s="45" t="s">
        <v>626</v>
      </c>
      <c r="I8" s="35"/>
    </row>
    <row r="9" spans="1:9" ht="9" hidden="1" customHeight="1" x14ac:dyDescent="0.15">
      <c r="A9" s="40" t="s">
        <v>596</v>
      </c>
      <c r="B9" s="41" t="s">
        <v>393</v>
      </c>
      <c r="C9" s="41" t="s">
        <v>543</v>
      </c>
      <c r="D9" s="41" t="s">
        <v>597</v>
      </c>
      <c r="E9" s="46">
        <v>708050</v>
      </c>
      <c r="F9" s="46">
        <f t="shared" si="0"/>
        <v>942970</v>
      </c>
      <c r="G9" s="41" t="s">
        <v>624</v>
      </c>
      <c r="H9" s="47"/>
      <c r="I9" s="35"/>
    </row>
    <row r="10" spans="1:9" ht="9" hidden="1" customHeight="1" x14ac:dyDescent="0.15">
      <c r="A10" s="36" t="s">
        <v>395</v>
      </c>
      <c r="B10" s="37" t="s">
        <v>393</v>
      </c>
      <c r="C10" s="37" t="s">
        <v>312</v>
      </c>
      <c r="D10" s="37" t="s">
        <v>396</v>
      </c>
      <c r="E10" s="43">
        <v>650000</v>
      </c>
      <c r="F10" s="43">
        <f t="shared" si="0"/>
        <v>864500</v>
      </c>
      <c r="G10" s="37" t="s">
        <v>624</v>
      </c>
      <c r="H10" s="45" t="s">
        <v>626</v>
      </c>
      <c r="I10" s="35"/>
    </row>
    <row r="11" spans="1:9" ht="13.75" customHeight="1" x14ac:dyDescent="0.15">
      <c r="A11" s="40" t="s">
        <v>460</v>
      </c>
      <c r="B11" s="41" t="s">
        <v>393</v>
      </c>
      <c r="C11" s="41" t="s">
        <v>413</v>
      </c>
      <c r="D11" s="42" t="s">
        <v>461</v>
      </c>
      <c r="E11" s="43">
        <v>650000</v>
      </c>
      <c r="F11" s="43">
        <f t="shared" si="0"/>
        <v>864500</v>
      </c>
      <c r="G11" s="44" t="s">
        <v>624</v>
      </c>
      <c r="H11" s="45" t="s">
        <v>626</v>
      </c>
      <c r="I11" s="35"/>
    </row>
    <row r="12" spans="1:9" ht="9" hidden="1" customHeight="1" x14ac:dyDescent="0.15">
      <c r="A12" s="36" t="s">
        <v>604</v>
      </c>
      <c r="B12" s="37" t="s">
        <v>393</v>
      </c>
      <c r="C12" s="37" t="s">
        <v>543</v>
      </c>
      <c r="D12" s="37" t="s">
        <v>605</v>
      </c>
      <c r="E12" s="38">
        <v>404600</v>
      </c>
      <c r="F12" s="38">
        <f t="shared" si="0"/>
        <v>538650</v>
      </c>
      <c r="G12" s="37" t="s">
        <v>624</v>
      </c>
      <c r="H12" s="39"/>
      <c r="I12" s="35"/>
    </row>
    <row r="13" spans="1:9" ht="13.75" customHeight="1" x14ac:dyDescent="0.15">
      <c r="A13" s="40" t="s">
        <v>436</v>
      </c>
      <c r="B13" s="41" t="s">
        <v>350</v>
      </c>
      <c r="C13" s="41" t="s">
        <v>413</v>
      </c>
      <c r="D13" s="41" t="s">
        <v>437</v>
      </c>
      <c r="E13" s="46">
        <v>1332800</v>
      </c>
      <c r="F13" s="46">
        <f t="shared" si="0"/>
        <v>1772890</v>
      </c>
      <c r="G13" s="41" t="s">
        <v>624</v>
      </c>
      <c r="H13" s="47"/>
      <c r="I13" s="35"/>
    </row>
    <row r="14" spans="1:9" ht="9" hidden="1" customHeight="1" x14ac:dyDescent="0.15">
      <c r="A14" s="36" t="s">
        <v>472</v>
      </c>
      <c r="B14" s="37" t="s">
        <v>311</v>
      </c>
      <c r="C14" s="37" t="s">
        <v>468</v>
      </c>
      <c r="D14" s="37" t="s">
        <v>320</v>
      </c>
      <c r="E14" s="38">
        <v>2669170</v>
      </c>
      <c r="F14" s="38">
        <f t="shared" si="0"/>
        <v>3551100</v>
      </c>
      <c r="G14" s="37" t="s">
        <v>624</v>
      </c>
      <c r="H14" s="39"/>
      <c r="I14" s="35"/>
    </row>
    <row r="15" spans="1:9" ht="9" hidden="1" customHeight="1" x14ac:dyDescent="0.15">
      <c r="A15" s="40" t="s">
        <v>548</v>
      </c>
      <c r="B15" s="41" t="s">
        <v>311</v>
      </c>
      <c r="C15" s="41" t="s">
        <v>543</v>
      </c>
      <c r="D15" s="42" t="s">
        <v>322</v>
      </c>
      <c r="E15" s="43">
        <v>1740000</v>
      </c>
      <c r="F15" s="43">
        <f t="shared" si="0"/>
        <v>2314200</v>
      </c>
      <c r="G15" s="44" t="s">
        <v>624</v>
      </c>
      <c r="H15" s="45" t="s">
        <v>627</v>
      </c>
      <c r="I15" s="35"/>
    </row>
    <row r="16" spans="1:9" ht="9" hidden="1" customHeight="1" x14ac:dyDescent="0.15">
      <c r="A16" s="36" t="s">
        <v>321</v>
      </c>
      <c r="B16" s="37" t="s">
        <v>311</v>
      </c>
      <c r="C16" s="37" t="s">
        <v>312</v>
      </c>
      <c r="D16" s="37" t="s">
        <v>322</v>
      </c>
      <c r="E16" s="38">
        <v>1644170</v>
      </c>
      <c r="F16" s="38">
        <f t="shared" si="0"/>
        <v>2187850</v>
      </c>
      <c r="G16" s="37" t="s">
        <v>624</v>
      </c>
      <c r="H16" s="39"/>
      <c r="I16" s="35"/>
    </row>
    <row r="17" spans="1:9" ht="9" hidden="1" customHeight="1" x14ac:dyDescent="0.15">
      <c r="A17" s="40" t="s">
        <v>470</v>
      </c>
      <c r="B17" s="41" t="s">
        <v>311</v>
      </c>
      <c r="C17" s="41" t="s">
        <v>468</v>
      </c>
      <c r="D17" s="41" t="s">
        <v>317</v>
      </c>
      <c r="E17" s="46">
        <v>1607690</v>
      </c>
      <c r="F17" s="46">
        <f t="shared" si="0"/>
        <v>2138640</v>
      </c>
      <c r="G17" s="41" t="s">
        <v>624</v>
      </c>
      <c r="H17" s="48" t="s">
        <v>471</v>
      </c>
      <c r="I17" s="35"/>
    </row>
    <row r="18" spans="1:9" ht="9" hidden="1" customHeight="1" x14ac:dyDescent="0.15">
      <c r="A18" s="36" t="s">
        <v>545</v>
      </c>
      <c r="B18" s="37" t="s">
        <v>311</v>
      </c>
      <c r="C18" s="37" t="s">
        <v>543</v>
      </c>
      <c r="D18" s="37" t="s">
        <v>317</v>
      </c>
      <c r="E18" s="43">
        <v>1600000</v>
      </c>
      <c r="F18" s="43">
        <f t="shared" si="0"/>
        <v>2128000</v>
      </c>
      <c r="G18" s="37" t="s">
        <v>624</v>
      </c>
      <c r="H18" s="45" t="s">
        <v>627</v>
      </c>
      <c r="I18" s="35"/>
    </row>
    <row r="19" spans="1:9" ht="13.75" customHeight="1" x14ac:dyDescent="0.15">
      <c r="A19" s="40" t="s">
        <v>418</v>
      </c>
      <c r="B19" s="41" t="s">
        <v>311</v>
      </c>
      <c r="C19" s="41" t="s">
        <v>413</v>
      </c>
      <c r="D19" s="41" t="s">
        <v>322</v>
      </c>
      <c r="E19" s="46">
        <v>1329496</v>
      </c>
      <c r="F19" s="46">
        <f t="shared" si="0"/>
        <v>1768900</v>
      </c>
      <c r="G19" s="41" t="s">
        <v>624</v>
      </c>
      <c r="H19" s="47"/>
      <c r="I19" s="35"/>
    </row>
    <row r="20" spans="1:9" ht="13.75" customHeight="1" x14ac:dyDescent="0.15">
      <c r="A20" s="36" t="s">
        <v>415</v>
      </c>
      <c r="B20" s="37" t="s">
        <v>311</v>
      </c>
      <c r="C20" s="37" t="s">
        <v>413</v>
      </c>
      <c r="D20" s="37" t="s">
        <v>317</v>
      </c>
      <c r="E20" s="38">
        <v>1257831</v>
      </c>
      <c r="F20" s="38">
        <f t="shared" si="0"/>
        <v>1673140</v>
      </c>
      <c r="G20" s="37" t="s">
        <v>624</v>
      </c>
      <c r="H20" s="49" t="s">
        <v>416</v>
      </c>
      <c r="I20" s="35"/>
    </row>
    <row r="21" spans="1:9" ht="9" hidden="1" customHeight="1" x14ac:dyDescent="0.15">
      <c r="A21" s="40" t="s">
        <v>473</v>
      </c>
      <c r="B21" s="41" t="s">
        <v>311</v>
      </c>
      <c r="C21" s="41" t="s">
        <v>468</v>
      </c>
      <c r="D21" s="41" t="s">
        <v>322</v>
      </c>
      <c r="E21" s="46">
        <v>1151397</v>
      </c>
      <c r="F21" s="46">
        <f t="shared" si="0"/>
        <v>1532160</v>
      </c>
      <c r="G21" s="41" t="s">
        <v>624</v>
      </c>
      <c r="H21" s="47"/>
      <c r="I21" s="35"/>
    </row>
    <row r="22" spans="1:9" ht="9" hidden="1" customHeight="1" x14ac:dyDescent="0.15">
      <c r="A22" s="36" t="s">
        <v>310</v>
      </c>
      <c r="B22" s="37" t="s">
        <v>311</v>
      </c>
      <c r="C22" s="37" t="s">
        <v>312</v>
      </c>
      <c r="D22" s="37" t="s">
        <v>313</v>
      </c>
      <c r="E22" s="43">
        <v>1000000</v>
      </c>
      <c r="F22" s="43">
        <f t="shared" si="0"/>
        <v>1330000</v>
      </c>
      <c r="G22" s="37" t="s">
        <v>624</v>
      </c>
      <c r="H22" s="45" t="s">
        <v>628</v>
      </c>
      <c r="I22" s="35"/>
    </row>
    <row r="23" spans="1:9" ht="9" hidden="1" customHeight="1" x14ac:dyDescent="0.15">
      <c r="A23" s="40" t="s">
        <v>467</v>
      </c>
      <c r="B23" s="41" t="s">
        <v>311</v>
      </c>
      <c r="C23" s="41" t="s">
        <v>468</v>
      </c>
      <c r="D23" s="42" t="s">
        <v>313</v>
      </c>
      <c r="E23" s="43">
        <v>1000000</v>
      </c>
      <c r="F23" s="43">
        <f t="shared" si="0"/>
        <v>1330000</v>
      </c>
      <c r="G23" s="44" t="s">
        <v>624</v>
      </c>
      <c r="H23" s="45" t="s">
        <v>628</v>
      </c>
      <c r="I23" s="35"/>
    </row>
    <row r="24" spans="1:9" ht="13.75" customHeight="1" x14ac:dyDescent="0.15">
      <c r="A24" s="36" t="s">
        <v>412</v>
      </c>
      <c r="B24" s="37" t="s">
        <v>311</v>
      </c>
      <c r="C24" s="37" t="s">
        <v>413</v>
      </c>
      <c r="D24" s="37" t="s">
        <v>313</v>
      </c>
      <c r="E24" s="43">
        <v>1000000</v>
      </c>
      <c r="F24" s="43">
        <f t="shared" si="0"/>
        <v>1330000</v>
      </c>
      <c r="G24" s="37" t="s">
        <v>624</v>
      </c>
      <c r="H24" s="45" t="s">
        <v>628</v>
      </c>
      <c r="I24" s="35"/>
    </row>
    <row r="25" spans="1:9" ht="9" hidden="1" customHeight="1" x14ac:dyDescent="0.15">
      <c r="A25" s="40" t="s">
        <v>323</v>
      </c>
      <c r="B25" s="41" t="s">
        <v>311</v>
      </c>
      <c r="C25" s="41" t="s">
        <v>312</v>
      </c>
      <c r="D25" s="41" t="s">
        <v>324</v>
      </c>
      <c r="E25" s="46">
        <v>975038</v>
      </c>
      <c r="F25" s="46">
        <f t="shared" si="0"/>
        <v>1298080</v>
      </c>
      <c r="G25" s="41" t="s">
        <v>624</v>
      </c>
      <c r="H25" s="47"/>
      <c r="I25" s="35"/>
    </row>
    <row r="26" spans="1:9" ht="9" hidden="1" customHeight="1" x14ac:dyDescent="0.15">
      <c r="A26" s="36" t="s">
        <v>549</v>
      </c>
      <c r="B26" s="37" t="s">
        <v>311</v>
      </c>
      <c r="C26" s="37" t="s">
        <v>543</v>
      </c>
      <c r="D26" s="37" t="s">
        <v>324</v>
      </c>
      <c r="E26" s="43">
        <v>930000</v>
      </c>
      <c r="F26" s="43">
        <f t="shared" si="0"/>
        <v>1236900</v>
      </c>
      <c r="G26" s="37" t="s">
        <v>624</v>
      </c>
      <c r="H26" s="45" t="s">
        <v>627</v>
      </c>
      <c r="I26" s="35"/>
    </row>
    <row r="27" spans="1:9" ht="9" hidden="1" customHeight="1" x14ac:dyDescent="0.15">
      <c r="A27" s="40" t="s">
        <v>544</v>
      </c>
      <c r="B27" s="41" t="s">
        <v>311</v>
      </c>
      <c r="C27" s="41" t="s">
        <v>543</v>
      </c>
      <c r="D27" s="42" t="s">
        <v>315</v>
      </c>
      <c r="E27" s="43">
        <v>890000</v>
      </c>
      <c r="F27" s="43">
        <f t="shared" si="0"/>
        <v>1183700</v>
      </c>
      <c r="G27" s="44" t="s">
        <v>624</v>
      </c>
      <c r="H27" s="45" t="s">
        <v>627</v>
      </c>
      <c r="I27" s="35"/>
    </row>
    <row r="28" spans="1:9" ht="13.75" customHeight="1" x14ac:dyDescent="0.15">
      <c r="A28" s="36" t="s">
        <v>419</v>
      </c>
      <c r="B28" s="37" t="s">
        <v>311</v>
      </c>
      <c r="C28" s="37" t="s">
        <v>413</v>
      </c>
      <c r="D28" s="37" t="s">
        <v>324</v>
      </c>
      <c r="E28" s="38">
        <v>843234</v>
      </c>
      <c r="F28" s="38">
        <f t="shared" si="0"/>
        <v>1122520</v>
      </c>
      <c r="G28" s="37" t="s">
        <v>624</v>
      </c>
      <c r="H28" s="39"/>
      <c r="I28" s="35"/>
    </row>
    <row r="29" spans="1:9" ht="13.75" customHeight="1" x14ac:dyDescent="0.15">
      <c r="A29" s="40" t="s">
        <v>417</v>
      </c>
      <c r="B29" s="41" t="s">
        <v>311</v>
      </c>
      <c r="C29" s="41" t="s">
        <v>413</v>
      </c>
      <c r="D29" s="41" t="s">
        <v>320</v>
      </c>
      <c r="E29" s="46">
        <v>803250</v>
      </c>
      <c r="F29" s="46">
        <f t="shared" si="0"/>
        <v>1069320</v>
      </c>
      <c r="G29" s="41" t="s">
        <v>624</v>
      </c>
      <c r="H29" s="48" t="s">
        <v>629</v>
      </c>
      <c r="I29" s="35"/>
    </row>
    <row r="30" spans="1:9" ht="9" hidden="1" customHeight="1" x14ac:dyDescent="0.15">
      <c r="A30" s="36" t="s">
        <v>316</v>
      </c>
      <c r="B30" s="37" t="s">
        <v>311</v>
      </c>
      <c r="C30" s="37" t="s">
        <v>312</v>
      </c>
      <c r="D30" s="37" t="s">
        <v>317</v>
      </c>
      <c r="E30" s="38">
        <v>712840</v>
      </c>
      <c r="F30" s="38">
        <f t="shared" si="0"/>
        <v>948290</v>
      </c>
      <c r="G30" s="37" t="s">
        <v>624</v>
      </c>
      <c r="H30" s="49" t="s">
        <v>318</v>
      </c>
      <c r="I30" s="35"/>
    </row>
    <row r="31" spans="1:9" ht="9" hidden="1" customHeight="1" x14ac:dyDescent="0.15">
      <c r="A31" s="40" t="s">
        <v>547</v>
      </c>
      <c r="B31" s="41" t="s">
        <v>311</v>
      </c>
      <c r="C31" s="41" t="s">
        <v>543</v>
      </c>
      <c r="D31" s="42" t="s">
        <v>320</v>
      </c>
      <c r="E31" s="43">
        <v>700000</v>
      </c>
      <c r="F31" s="43">
        <f t="shared" si="0"/>
        <v>931000</v>
      </c>
      <c r="G31" s="44" t="s">
        <v>624</v>
      </c>
      <c r="H31" s="45" t="s">
        <v>627</v>
      </c>
      <c r="I31" s="35"/>
    </row>
    <row r="32" spans="1:9" ht="9" hidden="1" customHeight="1" x14ac:dyDescent="0.15">
      <c r="A32" s="36" t="s">
        <v>474</v>
      </c>
      <c r="B32" s="37" t="s">
        <v>311</v>
      </c>
      <c r="C32" s="37" t="s">
        <v>468</v>
      </c>
      <c r="D32" s="37" t="s">
        <v>324</v>
      </c>
      <c r="E32" s="38">
        <v>693639</v>
      </c>
      <c r="F32" s="38">
        <f t="shared" si="0"/>
        <v>923020</v>
      </c>
      <c r="G32" s="37" t="s">
        <v>624</v>
      </c>
      <c r="H32" s="39"/>
      <c r="I32" s="35"/>
    </row>
    <row r="33" spans="1:9" ht="9" hidden="1" customHeight="1" x14ac:dyDescent="0.15">
      <c r="A33" s="40" t="s">
        <v>508</v>
      </c>
      <c r="B33" s="41" t="s">
        <v>352</v>
      </c>
      <c r="C33" s="41" t="s">
        <v>468</v>
      </c>
      <c r="D33" s="41" t="s">
        <v>509</v>
      </c>
      <c r="E33" s="46">
        <v>153510</v>
      </c>
      <c r="F33" s="46">
        <f t="shared" si="0"/>
        <v>204820</v>
      </c>
      <c r="G33" s="41" t="s">
        <v>630</v>
      </c>
      <c r="H33" s="47"/>
      <c r="I33" s="35"/>
    </row>
    <row r="34" spans="1:9" ht="9" hidden="1" customHeight="1" x14ac:dyDescent="0.15">
      <c r="A34" s="36" t="s">
        <v>542</v>
      </c>
      <c r="B34" s="37" t="s">
        <v>311</v>
      </c>
      <c r="C34" s="37" t="s">
        <v>543</v>
      </c>
      <c r="D34" s="37" t="s">
        <v>313</v>
      </c>
      <c r="E34" s="43">
        <v>600000</v>
      </c>
      <c r="F34" s="43">
        <f t="shared" si="0"/>
        <v>798000</v>
      </c>
      <c r="G34" s="37" t="s">
        <v>624</v>
      </c>
      <c r="H34" s="45" t="s">
        <v>627</v>
      </c>
      <c r="I34" s="35"/>
    </row>
    <row r="35" spans="1:9" ht="9" hidden="1" customHeight="1" x14ac:dyDescent="0.15">
      <c r="A35" s="40" t="s">
        <v>319</v>
      </c>
      <c r="B35" s="41" t="s">
        <v>311</v>
      </c>
      <c r="C35" s="41" t="s">
        <v>312</v>
      </c>
      <c r="D35" s="41" t="s">
        <v>320</v>
      </c>
      <c r="E35" s="46">
        <v>568820</v>
      </c>
      <c r="F35" s="46">
        <f t="shared" si="0"/>
        <v>756770</v>
      </c>
      <c r="G35" s="41" t="s">
        <v>624</v>
      </c>
      <c r="H35" s="48" t="s">
        <v>629</v>
      </c>
      <c r="I35" s="35"/>
    </row>
    <row r="36" spans="1:9" ht="9" hidden="1" customHeight="1" x14ac:dyDescent="0.15">
      <c r="A36" s="36" t="s">
        <v>325</v>
      </c>
      <c r="B36" s="37" t="s">
        <v>311</v>
      </c>
      <c r="C36" s="37" t="s">
        <v>312</v>
      </c>
      <c r="D36" s="37" t="s">
        <v>326</v>
      </c>
      <c r="E36" s="38">
        <v>433541</v>
      </c>
      <c r="F36" s="38">
        <v>433541</v>
      </c>
      <c r="G36" s="37" t="s">
        <v>624</v>
      </c>
      <c r="H36" s="39"/>
      <c r="I36" s="35"/>
    </row>
    <row r="37" spans="1:9" ht="9" hidden="1" customHeight="1" x14ac:dyDescent="0.15">
      <c r="A37" s="40" t="s">
        <v>327</v>
      </c>
      <c r="B37" s="41" t="s">
        <v>311</v>
      </c>
      <c r="C37" s="41" t="s">
        <v>312</v>
      </c>
      <c r="D37" s="41" t="s">
        <v>328</v>
      </c>
      <c r="E37" s="46">
        <v>433541</v>
      </c>
      <c r="F37" s="46">
        <v>433541</v>
      </c>
      <c r="G37" s="41" t="s">
        <v>624</v>
      </c>
      <c r="H37" s="47"/>
      <c r="I37" s="35"/>
    </row>
    <row r="38" spans="1:9" ht="9" hidden="1" customHeight="1" x14ac:dyDescent="0.15">
      <c r="A38" s="36" t="s">
        <v>550</v>
      </c>
      <c r="B38" s="37" t="s">
        <v>311</v>
      </c>
      <c r="C38" s="37" t="s">
        <v>543</v>
      </c>
      <c r="D38" s="37" t="s">
        <v>326</v>
      </c>
      <c r="E38" s="43">
        <v>425000</v>
      </c>
      <c r="F38" s="43">
        <v>425000</v>
      </c>
      <c r="G38" s="37" t="s">
        <v>624</v>
      </c>
      <c r="H38" s="45" t="s">
        <v>627</v>
      </c>
      <c r="I38" s="35"/>
    </row>
    <row r="39" spans="1:9" ht="9" hidden="1" customHeight="1" x14ac:dyDescent="0.15">
      <c r="A39" s="40" t="s">
        <v>551</v>
      </c>
      <c r="B39" s="41" t="s">
        <v>311</v>
      </c>
      <c r="C39" s="41" t="s">
        <v>543</v>
      </c>
      <c r="D39" s="42" t="s">
        <v>328</v>
      </c>
      <c r="E39" s="43">
        <v>425000</v>
      </c>
      <c r="F39" s="43">
        <v>425000</v>
      </c>
      <c r="G39" s="44" t="s">
        <v>624</v>
      </c>
      <c r="H39" s="45" t="s">
        <v>627</v>
      </c>
      <c r="I39" s="35"/>
    </row>
    <row r="40" spans="1:9" ht="13.75" customHeight="1" x14ac:dyDescent="0.15">
      <c r="A40" s="36" t="s">
        <v>420</v>
      </c>
      <c r="B40" s="37" t="s">
        <v>311</v>
      </c>
      <c r="C40" s="37" t="s">
        <v>413</v>
      </c>
      <c r="D40" s="37" t="s">
        <v>326</v>
      </c>
      <c r="E40" s="38">
        <v>334152</v>
      </c>
      <c r="F40" s="38">
        <v>334152</v>
      </c>
      <c r="G40" s="37" t="s">
        <v>624</v>
      </c>
      <c r="H40" s="39"/>
      <c r="I40" s="35"/>
    </row>
    <row r="41" spans="1:9" ht="13.75" customHeight="1" x14ac:dyDescent="0.15">
      <c r="A41" s="40" t="s">
        <v>421</v>
      </c>
      <c r="B41" s="41" t="s">
        <v>311</v>
      </c>
      <c r="C41" s="41" t="s">
        <v>413</v>
      </c>
      <c r="D41" s="41" t="s">
        <v>328</v>
      </c>
      <c r="E41" s="46">
        <v>334152</v>
      </c>
      <c r="F41" s="46">
        <v>334152</v>
      </c>
      <c r="G41" s="41" t="s">
        <v>624</v>
      </c>
      <c r="H41" s="47"/>
      <c r="I41" s="35"/>
    </row>
    <row r="42" spans="1:9" ht="9" hidden="1" customHeight="1" x14ac:dyDescent="0.15">
      <c r="A42" s="36" t="s">
        <v>475</v>
      </c>
      <c r="B42" s="37" t="s">
        <v>311</v>
      </c>
      <c r="C42" s="37" t="s">
        <v>468</v>
      </c>
      <c r="D42" s="37" t="s">
        <v>326</v>
      </c>
      <c r="E42" s="38">
        <v>303664</v>
      </c>
      <c r="F42" s="38">
        <v>303664</v>
      </c>
      <c r="G42" s="37" t="s">
        <v>624</v>
      </c>
      <c r="H42" s="39"/>
      <c r="I42" s="35"/>
    </row>
    <row r="43" spans="1:9" ht="9" hidden="1" customHeight="1" x14ac:dyDescent="0.15">
      <c r="A43" s="40" t="s">
        <v>476</v>
      </c>
      <c r="B43" s="41" t="s">
        <v>311</v>
      </c>
      <c r="C43" s="41" t="s">
        <v>468</v>
      </c>
      <c r="D43" s="41" t="s">
        <v>328</v>
      </c>
      <c r="E43" s="46">
        <v>303664</v>
      </c>
      <c r="F43" s="46">
        <v>303664</v>
      </c>
      <c r="G43" s="41" t="s">
        <v>624</v>
      </c>
      <c r="H43" s="47"/>
      <c r="I43" s="35"/>
    </row>
    <row r="44" spans="1:9" ht="9" hidden="1" customHeight="1" x14ac:dyDescent="0.15">
      <c r="A44" s="36" t="s">
        <v>314</v>
      </c>
      <c r="B44" s="37" t="s">
        <v>311</v>
      </c>
      <c r="C44" s="37" t="s">
        <v>312</v>
      </c>
      <c r="D44" s="37" t="s">
        <v>315</v>
      </c>
      <c r="E44" s="38">
        <v>34272</v>
      </c>
      <c r="F44" s="38">
        <f t="shared" ref="F44:F75" si="1">(CEILING(E44:E44,1000))*1.33</f>
        <v>46550</v>
      </c>
      <c r="G44" s="37" t="s">
        <v>624</v>
      </c>
      <c r="H44" s="39"/>
      <c r="I44" s="35"/>
    </row>
    <row r="45" spans="1:9" ht="13.75" customHeight="1" x14ac:dyDescent="0.15">
      <c r="A45" s="40" t="s">
        <v>414</v>
      </c>
      <c r="B45" s="41" t="s">
        <v>311</v>
      </c>
      <c r="C45" s="41" t="s">
        <v>413</v>
      </c>
      <c r="D45" s="41" t="s">
        <v>315</v>
      </c>
      <c r="E45" s="46">
        <v>34272</v>
      </c>
      <c r="F45" s="46">
        <f t="shared" si="1"/>
        <v>46550</v>
      </c>
      <c r="G45" s="41" t="s">
        <v>624</v>
      </c>
      <c r="H45" s="47"/>
      <c r="I45" s="35"/>
    </row>
    <row r="46" spans="1:9" ht="9" hidden="1" customHeight="1" x14ac:dyDescent="0.15">
      <c r="A46" s="36" t="s">
        <v>469</v>
      </c>
      <c r="B46" s="37" t="s">
        <v>311</v>
      </c>
      <c r="C46" s="37" t="s">
        <v>468</v>
      </c>
      <c r="D46" s="37" t="s">
        <v>315</v>
      </c>
      <c r="E46" s="38">
        <v>11424</v>
      </c>
      <c r="F46" s="38">
        <f t="shared" si="1"/>
        <v>15960</v>
      </c>
      <c r="G46" s="37" t="s">
        <v>624</v>
      </c>
      <c r="H46" s="39"/>
      <c r="I46" s="35"/>
    </row>
    <row r="47" spans="1:9" ht="13.75" customHeight="1" x14ac:dyDescent="0.15">
      <c r="A47" s="40" t="s">
        <v>432</v>
      </c>
      <c r="B47" s="41" t="s">
        <v>343</v>
      </c>
      <c r="C47" s="41" t="s">
        <v>413</v>
      </c>
      <c r="D47" s="41" t="s">
        <v>433</v>
      </c>
      <c r="E47" s="46">
        <v>4411000</v>
      </c>
      <c r="F47" s="46">
        <f t="shared" si="1"/>
        <v>5866630</v>
      </c>
      <c r="G47" s="41" t="s">
        <v>624</v>
      </c>
      <c r="H47" s="47"/>
      <c r="I47" s="35"/>
    </row>
    <row r="48" spans="1:9" ht="13.75" customHeight="1" x14ac:dyDescent="0.15">
      <c r="A48" s="36" t="s">
        <v>434</v>
      </c>
      <c r="B48" s="37" t="s">
        <v>343</v>
      </c>
      <c r="C48" s="37" t="s">
        <v>413</v>
      </c>
      <c r="D48" s="37" t="s">
        <v>435</v>
      </c>
      <c r="E48" s="38">
        <v>3195000</v>
      </c>
      <c r="F48" s="38">
        <f t="shared" si="1"/>
        <v>4249350</v>
      </c>
      <c r="G48" s="37" t="s">
        <v>624</v>
      </c>
      <c r="H48" s="39"/>
      <c r="I48" s="35"/>
    </row>
    <row r="49" spans="1:9" ht="13.75" customHeight="1" x14ac:dyDescent="0.15">
      <c r="A49" s="40" t="s">
        <v>431</v>
      </c>
      <c r="B49" s="41" t="s">
        <v>343</v>
      </c>
      <c r="C49" s="41" t="s">
        <v>413</v>
      </c>
      <c r="D49" s="41" t="s">
        <v>346</v>
      </c>
      <c r="E49" s="46">
        <v>828700</v>
      </c>
      <c r="F49" s="46">
        <f t="shared" si="1"/>
        <v>1102570</v>
      </c>
      <c r="G49" s="41" t="s">
        <v>624</v>
      </c>
      <c r="H49" s="47"/>
      <c r="I49" s="35"/>
    </row>
    <row r="50" spans="1:9" ht="13.75" customHeight="1" x14ac:dyDescent="0.15">
      <c r="A50" s="36" t="s">
        <v>427</v>
      </c>
      <c r="B50" s="37" t="s">
        <v>333</v>
      </c>
      <c r="C50" s="37" t="s">
        <v>413</v>
      </c>
      <c r="D50" s="37" t="s">
        <v>337</v>
      </c>
      <c r="E50" s="38">
        <v>15097000</v>
      </c>
      <c r="F50" s="38">
        <f t="shared" si="1"/>
        <v>20079010</v>
      </c>
      <c r="G50" s="37" t="s">
        <v>624</v>
      </c>
      <c r="H50" s="49" t="s">
        <v>428</v>
      </c>
      <c r="I50" s="35"/>
    </row>
    <row r="51" spans="1:9" ht="9" hidden="1" customHeight="1" x14ac:dyDescent="0.15">
      <c r="A51" s="40" t="s">
        <v>332</v>
      </c>
      <c r="B51" s="41" t="s">
        <v>333</v>
      </c>
      <c r="C51" s="41" t="s">
        <v>312</v>
      </c>
      <c r="D51" s="41" t="s">
        <v>334</v>
      </c>
      <c r="E51" s="46">
        <v>8159982</v>
      </c>
      <c r="F51" s="46">
        <f t="shared" si="1"/>
        <v>10852800</v>
      </c>
      <c r="G51" s="41" t="s">
        <v>624</v>
      </c>
      <c r="H51" s="48" t="s">
        <v>335</v>
      </c>
      <c r="I51" s="35"/>
    </row>
    <row r="52" spans="1:9" ht="13.75" customHeight="1" x14ac:dyDescent="0.15">
      <c r="A52" s="36" t="s">
        <v>425</v>
      </c>
      <c r="B52" s="37" t="s">
        <v>333</v>
      </c>
      <c r="C52" s="37" t="s">
        <v>413</v>
      </c>
      <c r="D52" s="37" t="s">
        <v>334</v>
      </c>
      <c r="E52" s="38">
        <v>6987045</v>
      </c>
      <c r="F52" s="38">
        <f t="shared" si="1"/>
        <v>9294040</v>
      </c>
      <c r="G52" s="37" t="s">
        <v>624</v>
      </c>
      <c r="H52" s="49" t="s">
        <v>426</v>
      </c>
      <c r="I52" s="35"/>
    </row>
    <row r="53" spans="1:9" ht="9" hidden="1" customHeight="1" x14ac:dyDescent="0.15">
      <c r="A53" s="40" t="s">
        <v>513</v>
      </c>
      <c r="B53" s="41" t="s">
        <v>360</v>
      </c>
      <c r="C53" s="41" t="s">
        <v>468</v>
      </c>
      <c r="D53" s="41" t="s">
        <v>514</v>
      </c>
      <c r="E53" s="46">
        <v>2114000</v>
      </c>
      <c r="F53" s="46">
        <f t="shared" si="1"/>
        <v>2811620</v>
      </c>
      <c r="G53" s="41" t="s">
        <v>624</v>
      </c>
      <c r="H53" s="48" t="s">
        <v>515</v>
      </c>
      <c r="I53" s="35"/>
    </row>
    <row r="54" spans="1:9" ht="9" hidden="1" customHeight="1" x14ac:dyDescent="0.15">
      <c r="A54" s="36" t="s">
        <v>577</v>
      </c>
      <c r="B54" s="37" t="s">
        <v>360</v>
      </c>
      <c r="C54" s="37" t="s">
        <v>543</v>
      </c>
      <c r="D54" s="37" t="s">
        <v>578</v>
      </c>
      <c r="E54" s="38">
        <v>1839000</v>
      </c>
      <c r="F54" s="38">
        <f t="shared" si="1"/>
        <v>2445870</v>
      </c>
      <c r="G54" s="37" t="s">
        <v>624</v>
      </c>
      <c r="H54" s="39"/>
      <c r="I54" s="35"/>
    </row>
    <row r="55" spans="1:9" ht="9" hidden="1" customHeight="1" x14ac:dyDescent="0.15">
      <c r="A55" s="40" t="s">
        <v>579</v>
      </c>
      <c r="B55" s="41" t="s">
        <v>360</v>
      </c>
      <c r="C55" s="41" t="s">
        <v>543</v>
      </c>
      <c r="D55" s="41" t="s">
        <v>442</v>
      </c>
      <c r="E55" s="46">
        <v>667000</v>
      </c>
      <c r="F55" s="46">
        <f t="shared" si="1"/>
        <v>887110</v>
      </c>
      <c r="G55" s="41" t="s">
        <v>624</v>
      </c>
      <c r="H55" s="47"/>
      <c r="I55" s="35"/>
    </row>
    <row r="56" spans="1:9" ht="13.75" customHeight="1" x14ac:dyDescent="0.15">
      <c r="A56" s="36" t="s">
        <v>443</v>
      </c>
      <c r="B56" s="37" t="s">
        <v>360</v>
      </c>
      <c r="C56" s="37" t="s">
        <v>413</v>
      </c>
      <c r="D56" s="37" t="s">
        <v>364</v>
      </c>
      <c r="E56" s="38">
        <v>549000</v>
      </c>
      <c r="F56" s="38">
        <f t="shared" si="1"/>
        <v>730170</v>
      </c>
      <c r="G56" s="37" t="s">
        <v>624</v>
      </c>
      <c r="H56" s="39"/>
      <c r="I56" s="35"/>
    </row>
    <row r="57" spans="1:9" ht="9" hidden="1" customHeight="1" x14ac:dyDescent="0.15">
      <c r="A57" s="40" t="s">
        <v>369</v>
      </c>
      <c r="B57" s="41" t="s">
        <v>360</v>
      </c>
      <c r="C57" s="41" t="s">
        <v>312</v>
      </c>
      <c r="D57" s="41" t="s">
        <v>370</v>
      </c>
      <c r="E57" s="46">
        <v>500000</v>
      </c>
      <c r="F57" s="46">
        <f t="shared" si="1"/>
        <v>665000</v>
      </c>
      <c r="G57" s="41" t="s">
        <v>624</v>
      </c>
      <c r="H57" s="47"/>
      <c r="I57" s="35"/>
    </row>
    <row r="58" spans="1:9" ht="9" hidden="1" customHeight="1" x14ac:dyDescent="0.15">
      <c r="A58" s="36" t="s">
        <v>518</v>
      </c>
      <c r="B58" s="37" t="s">
        <v>360</v>
      </c>
      <c r="C58" s="37" t="s">
        <v>468</v>
      </c>
      <c r="D58" s="37" t="s">
        <v>370</v>
      </c>
      <c r="E58" s="38">
        <v>500000</v>
      </c>
      <c r="F58" s="38">
        <f t="shared" si="1"/>
        <v>665000</v>
      </c>
      <c r="G58" s="37" t="s">
        <v>624</v>
      </c>
      <c r="H58" s="39"/>
      <c r="I58" s="35"/>
    </row>
    <row r="59" spans="1:9" ht="9" hidden="1" customHeight="1" x14ac:dyDescent="0.15">
      <c r="A59" s="40" t="s">
        <v>581</v>
      </c>
      <c r="B59" s="41" t="s">
        <v>360</v>
      </c>
      <c r="C59" s="41" t="s">
        <v>543</v>
      </c>
      <c r="D59" s="41" t="s">
        <v>370</v>
      </c>
      <c r="E59" s="46">
        <v>500000</v>
      </c>
      <c r="F59" s="46">
        <f t="shared" si="1"/>
        <v>665000</v>
      </c>
      <c r="G59" s="41" t="s">
        <v>624</v>
      </c>
      <c r="H59" s="47"/>
      <c r="I59" s="35"/>
    </row>
    <row r="60" spans="1:9" ht="13.75" customHeight="1" x14ac:dyDescent="0.15">
      <c r="A60" s="36" t="s">
        <v>445</v>
      </c>
      <c r="B60" s="37" t="s">
        <v>360</v>
      </c>
      <c r="C60" s="37" t="s">
        <v>413</v>
      </c>
      <c r="D60" s="37" t="s">
        <v>370</v>
      </c>
      <c r="E60" s="38">
        <v>500000</v>
      </c>
      <c r="F60" s="38">
        <f t="shared" si="1"/>
        <v>665000</v>
      </c>
      <c r="G60" s="37" t="s">
        <v>624</v>
      </c>
      <c r="H60" s="39"/>
      <c r="I60" s="35"/>
    </row>
    <row r="61" spans="1:9" ht="9" hidden="1" customHeight="1" x14ac:dyDescent="0.15">
      <c r="A61" s="40" t="s">
        <v>354</v>
      </c>
      <c r="B61" s="41" t="s">
        <v>352</v>
      </c>
      <c r="C61" s="41" t="s">
        <v>312</v>
      </c>
      <c r="D61" s="41" t="s">
        <v>631</v>
      </c>
      <c r="E61" s="46">
        <v>204564</v>
      </c>
      <c r="F61" s="46">
        <f t="shared" si="1"/>
        <v>272650</v>
      </c>
      <c r="G61" s="41" t="s">
        <v>630</v>
      </c>
      <c r="H61" s="47"/>
      <c r="I61" s="35"/>
    </row>
    <row r="62" spans="1:9" ht="9" hidden="1" customHeight="1" x14ac:dyDescent="0.15">
      <c r="A62" s="36" t="s">
        <v>363</v>
      </c>
      <c r="B62" s="37" t="s">
        <v>360</v>
      </c>
      <c r="C62" s="37" t="s">
        <v>312</v>
      </c>
      <c r="D62" s="37" t="s">
        <v>364</v>
      </c>
      <c r="E62" s="38">
        <v>329000</v>
      </c>
      <c r="F62" s="38">
        <f t="shared" si="1"/>
        <v>437570</v>
      </c>
      <c r="G62" s="37" t="s">
        <v>624</v>
      </c>
      <c r="H62" s="39"/>
      <c r="I62" s="35"/>
    </row>
    <row r="63" spans="1:9" ht="13.75" customHeight="1" x14ac:dyDescent="0.15">
      <c r="A63" s="40" t="s">
        <v>449</v>
      </c>
      <c r="B63" s="41" t="s">
        <v>360</v>
      </c>
      <c r="C63" s="41" t="s">
        <v>413</v>
      </c>
      <c r="D63" s="41" t="s">
        <v>374</v>
      </c>
      <c r="E63" s="46">
        <v>197000</v>
      </c>
      <c r="F63" s="46">
        <f t="shared" si="1"/>
        <v>262010</v>
      </c>
      <c r="G63" s="41" t="s">
        <v>624</v>
      </c>
      <c r="H63" s="47"/>
      <c r="I63" s="35"/>
    </row>
    <row r="64" spans="1:9" ht="9" hidden="1" customHeight="1" x14ac:dyDescent="0.15">
      <c r="A64" s="36" t="s">
        <v>583</v>
      </c>
      <c r="B64" s="37" t="s">
        <v>360</v>
      </c>
      <c r="C64" s="37" t="s">
        <v>543</v>
      </c>
      <c r="D64" s="37" t="s">
        <v>376</v>
      </c>
      <c r="E64" s="38">
        <v>170000</v>
      </c>
      <c r="F64" s="38">
        <f t="shared" si="1"/>
        <v>226100</v>
      </c>
      <c r="G64" s="37" t="s">
        <v>624</v>
      </c>
      <c r="H64" s="39"/>
      <c r="I64" s="35"/>
    </row>
    <row r="65" spans="1:9" ht="13.75" customHeight="1" x14ac:dyDescent="0.15">
      <c r="A65" s="40" t="s">
        <v>441</v>
      </c>
      <c r="B65" s="41" t="s">
        <v>360</v>
      </c>
      <c r="C65" s="41" t="s">
        <v>413</v>
      </c>
      <c r="D65" s="41" t="s">
        <v>442</v>
      </c>
      <c r="E65" s="46">
        <v>154000</v>
      </c>
      <c r="F65" s="46">
        <f t="shared" si="1"/>
        <v>204820</v>
      </c>
      <c r="G65" s="41" t="s">
        <v>624</v>
      </c>
      <c r="H65" s="47"/>
      <c r="I65" s="35"/>
    </row>
    <row r="66" spans="1:9" ht="9" hidden="1" customHeight="1" x14ac:dyDescent="0.15">
      <c r="A66" s="36" t="s">
        <v>367</v>
      </c>
      <c r="B66" s="37" t="s">
        <v>360</v>
      </c>
      <c r="C66" s="37" t="s">
        <v>312</v>
      </c>
      <c r="D66" s="37" t="s">
        <v>368</v>
      </c>
      <c r="E66" s="38">
        <v>124000</v>
      </c>
      <c r="F66" s="38">
        <f t="shared" si="1"/>
        <v>164920</v>
      </c>
      <c r="G66" s="37" t="s">
        <v>624</v>
      </c>
      <c r="H66" s="39"/>
      <c r="I66" s="35"/>
    </row>
    <row r="67" spans="1:9" ht="9" hidden="1" customHeight="1" x14ac:dyDescent="0.15">
      <c r="A67" s="40" t="s">
        <v>584</v>
      </c>
      <c r="B67" s="41" t="s">
        <v>360</v>
      </c>
      <c r="C67" s="41" t="s">
        <v>543</v>
      </c>
      <c r="D67" s="41" t="s">
        <v>378</v>
      </c>
      <c r="E67" s="46">
        <v>119000</v>
      </c>
      <c r="F67" s="46">
        <f t="shared" si="1"/>
        <v>158270</v>
      </c>
      <c r="G67" s="41" t="s">
        <v>624</v>
      </c>
      <c r="H67" s="47"/>
      <c r="I67" s="35"/>
    </row>
    <row r="68" spans="1:9" ht="9" hidden="1" customHeight="1" x14ac:dyDescent="0.15">
      <c r="A68" s="36" t="s">
        <v>586</v>
      </c>
      <c r="B68" s="37" t="s">
        <v>360</v>
      </c>
      <c r="C68" s="37" t="s">
        <v>543</v>
      </c>
      <c r="D68" s="37" t="s">
        <v>382</v>
      </c>
      <c r="E68" s="38">
        <v>96000</v>
      </c>
      <c r="F68" s="38">
        <f t="shared" si="1"/>
        <v>127680</v>
      </c>
      <c r="G68" s="37" t="s">
        <v>624</v>
      </c>
      <c r="H68" s="39"/>
      <c r="I68" s="35"/>
    </row>
    <row r="69" spans="1:9" ht="9" hidden="1" customHeight="1" x14ac:dyDescent="0.15">
      <c r="A69" s="40" t="s">
        <v>519</v>
      </c>
      <c r="B69" s="41" t="s">
        <v>360</v>
      </c>
      <c r="C69" s="41" t="s">
        <v>468</v>
      </c>
      <c r="D69" s="41" t="s">
        <v>378</v>
      </c>
      <c r="E69" s="46">
        <v>90000</v>
      </c>
      <c r="F69" s="46">
        <f t="shared" si="1"/>
        <v>119700</v>
      </c>
      <c r="G69" s="41" t="s">
        <v>624</v>
      </c>
      <c r="H69" s="47"/>
      <c r="I69" s="35"/>
    </row>
    <row r="70" spans="1:9" ht="9" hidden="1" customHeight="1" x14ac:dyDescent="0.15">
      <c r="A70" s="36" t="s">
        <v>365</v>
      </c>
      <c r="B70" s="37" t="s">
        <v>360</v>
      </c>
      <c r="C70" s="37" t="s">
        <v>312</v>
      </c>
      <c r="D70" s="37" t="s">
        <v>366</v>
      </c>
      <c r="E70" s="38">
        <v>89000</v>
      </c>
      <c r="F70" s="38">
        <f t="shared" si="1"/>
        <v>118370</v>
      </c>
      <c r="G70" s="37" t="s">
        <v>624</v>
      </c>
      <c r="H70" s="39"/>
      <c r="I70" s="35"/>
    </row>
    <row r="71" spans="1:9" ht="9" hidden="1" customHeight="1" x14ac:dyDescent="0.15">
      <c r="A71" s="40" t="s">
        <v>522</v>
      </c>
      <c r="B71" s="41" t="s">
        <v>360</v>
      </c>
      <c r="C71" s="41" t="s">
        <v>468</v>
      </c>
      <c r="D71" s="41" t="s">
        <v>447</v>
      </c>
      <c r="E71" s="46">
        <v>74000</v>
      </c>
      <c r="F71" s="46">
        <f t="shared" si="1"/>
        <v>98420</v>
      </c>
      <c r="G71" s="41" t="s">
        <v>624</v>
      </c>
      <c r="H71" s="47"/>
      <c r="I71" s="35"/>
    </row>
    <row r="72" spans="1:9" ht="9" hidden="1" customHeight="1" x14ac:dyDescent="0.15">
      <c r="A72" s="36" t="s">
        <v>582</v>
      </c>
      <c r="B72" s="37" t="s">
        <v>360</v>
      </c>
      <c r="C72" s="37" t="s">
        <v>543</v>
      </c>
      <c r="D72" s="37" t="s">
        <v>374</v>
      </c>
      <c r="E72" s="38">
        <v>69000</v>
      </c>
      <c r="F72" s="38">
        <f t="shared" si="1"/>
        <v>91770</v>
      </c>
      <c r="G72" s="37" t="s">
        <v>624</v>
      </c>
      <c r="H72" s="39"/>
      <c r="I72" s="35"/>
    </row>
    <row r="73" spans="1:9" ht="9" hidden="1" customHeight="1" x14ac:dyDescent="0.15">
      <c r="A73" s="40" t="s">
        <v>585</v>
      </c>
      <c r="B73" s="41" t="s">
        <v>360</v>
      </c>
      <c r="C73" s="41" t="s">
        <v>543</v>
      </c>
      <c r="D73" s="41" t="s">
        <v>380</v>
      </c>
      <c r="E73" s="46">
        <v>63000</v>
      </c>
      <c r="F73" s="46">
        <f t="shared" si="1"/>
        <v>83790</v>
      </c>
      <c r="G73" s="41" t="s">
        <v>624</v>
      </c>
      <c r="H73" s="47"/>
      <c r="I73" s="35"/>
    </row>
    <row r="74" spans="1:9" ht="9" hidden="1" customHeight="1" x14ac:dyDescent="0.15">
      <c r="A74" s="36" t="s">
        <v>377</v>
      </c>
      <c r="B74" s="37" t="s">
        <v>360</v>
      </c>
      <c r="C74" s="37" t="s">
        <v>312</v>
      </c>
      <c r="D74" s="37" t="s">
        <v>378</v>
      </c>
      <c r="E74" s="38">
        <v>60000</v>
      </c>
      <c r="F74" s="38">
        <f t="shared" si="1"/>
        <v>79800</v>
      </c>
      <c r="G74" s="37" t="s">
        <v>624</v>
      </c>
      <c r="H74" s="39"/>
      <c r="I74" s="35"/>
    </row>
    <row r="75" spans="1:9" ht="13.75" customHeight="1" x14ac:dyDescent="0.15">
      <c r="A75" s="40" t="s">
        <v>450</v>
      </c>
      <c r="B75" s="41" t="s">
        <v>360</v>
      </c>
      <c r="C75" s="41" t="s">
        <v>413</v>
      </c>
      <c r="D75" s="41" t="s">
        <v>378</v>
      </c>
      <c r="E75" s="46">
        <v>60000</v>
      </c>
      <c r="F75" s="46">
        <f t="shared" si="1"/>
        <v>79800</v>
      </c>
      <c r="G75" s="41" t="s">
        <v>624</v>
      </c>
      <c r="H75" s="47"/>
      <c r="I75" s="35"/>
    </row>
    <row r="76" spans="1:9" ht="13.75" customHeight="1" x14ac:dyDescent="0.15">
      <c r="A76" s="36" t="s">
        <v>444</v>
      </c>
      <c r="B76" s="37" t="s">
        <v>360</v>
      </c>
      <c r="C76" s="37" t="s">
        <v>413</v>
      </c>
      <c r="D76" s="37" t="s">
        <v>366</v>
      </c>
      <c r="E76" s="38">
        <v>58000</v>
      </c>
      <c r="F76" s="38">
        <f t="shared" ref="F76:F107" si="2">(CEILING(E76:E76,1000))*1.33</f>
        <v>77140</v>
      </c>
      <c r="G76" s="37" t="s">
        <v>624</v>
      </c>
      <c r="H76" s="39"/>
      <c r="I76" s="35"/>
    </row>
    <row r="77" spans="1:9" ht="13.75" customHeight="1" x14ac:dyDescent="0.15">
      <c r="A77" s="40" t="s">
        <v>446</v>
      </c>
      <c r="B77" s="41" t="s">
        <v>360</v>
      </c>
      <c r="C77" s="41" t="s">
        <v>413</v>
      </c>
      <c r="D77" s="41" t="s">
        <v>447</v>
      </c>
      <c r="E77" s="46">
        <v>58000</v>
      </c>
      <c r="F77" s="46">
        <f t="shared" si="2"/>
        <v>77140</v>
      </c>
      <c r="G77" s="41" t="s">
        <v>624</v>
      </c>
      <c r="H77" s="47"/>
      <c r="I77" s="35"/>
    </row>
    <row r="78" spans="1:9" ht="9" hidden="1" customHeight="1" x14ac:dyDescent="0.15">
      <c r="A78" s="36" t="s">
        <v>375</v>
      </c>
      <c r="B78" s="37" t="s">
        <v>360</v>
      </c>
      <c r="C78" s="37" t="s">
        <v>312</v>
      </c>
      <c r="D78" s="37" t="s">
        <v>376</v>
      </c>
      <c r="E78" s="38">
        <v>57000</v>
      </c>
      <c r="F78" s="38">
        <f t="shared" si="2"/>
        <v>75810</v>
      </c>
      <c r="G78" s="37" t="s">
        <v>624</v>
      </c>
      <c r="H78" s="39"/>
      <c r="I78" s="35"/>
    </row>
    <row r="79" spans="1:9" ht="9" hidden="1" customHeight="1" x14ac:dyDescent="0.15">
      <c r="A79" s="40" t="s">
        <v>521</v>
      </c>
      <c r="B79" s="41" t="s">
        <v>360</v>
      </c>
      <c r="C79" s="41" t="s">
        <v>468</v>
      </c>
      <c r="D79" s="41" t="s">
        <v>382</v>
      </c>
      <c r="E79" s="46">
        <v>48000</v>
      </c>
      <c r="F79" s="46">
        <f t="shared" si="2"/>
        <v>63840</v>
      </c>
      <c r="G79" s="41" t="s">
        <v>624</v>
      </c>
      <c r="H79" s="47"/>
      <c r="I79" s="35"/>
    </row>
    <row r="80" spans="1:9" ht="9" hidden="1" customHeight="1" x14ac:dyDescent="0.15">
      <c r="A80" s="36" t="s">
        <v>520</v>
      </c>
      <c r="B80" s="37" t="s">
        <v>360</v>
      </c>
      <c r="C80" s="37" t="s">
        <v>468</v>
      </c>
      <c r="D80" s="37" t="s">
        <v>380</v>
      </c>
      <c r="E80" s="38">
        <v>46000</v>
      </c>
      <c r="F80" s="38">
        <f t="shared" si="2"/>
        <v>61180</v>
      </c>
      <c r="G80" s="37" t="s">
        <v>624</v>
      </c>
      <c r="H80" s="39"/>
      <c r="I80" s="35"/>
    </row>
    <row r="81" spans="1:9" ht="9" hidden="1" customHeight="1" x14ac:dyDescent="0.15">
      <c r="A81" s="40" t="s">
        <v>379</v>
      </c>
      <c r="B81" s="41" t="s">
        <v>360</v>
      </c>
      <c r="C81" s="41" t="s">
        <v>312</v>
      </c>
      <c r="D81" s="41" t="s">
        <v>380</v>
      </c>
      <c r="E81" s="46">
        <v>37000</v>
      </c>
      <c r="F81" s="46">
        <f t="shared" si="2"/>
        <v>49210</v>
      </c>
      <c r="G81" s="41" t="s">
        <v>624</v>
      </c>
      <c r="H81" s="47"/>
      <c r="I81" s="35"/>
    </row>
    <row r="82" spans="1:9" ht="9" hidden="1" customHeight="1" x14ac:dyDescent="0.15">
      <c r="A82" s="36" t="s">
        <v>373</v>
      </c>
      <c r="B82" s="37" t="s">
        <v>360</v>
      </c>
      <c r="C82" s="37" t="s">
        <v>312</v>
      </c>
      <c r="D82" s="37" t="s">
        <v>374</v>
      </c>
      <c r="E82" s="38">
        <v>36000</v>
      </c>
      <c r="F82" s="38">
        <f t="shared" si="2"/>
        <v>47880</v>
      </c>
      <c r="G82" s="37" t="s">
        <v>624</v>
      </c>
      <c r="H82" s="39"/>
      <c r="I82" s="35"/>
    </row>
    <row r="83" spans="1:9" ht="9" hidden="1" customHeight="1" x14ac:dyDescent="0.15">
      <c r="A83" s="40" t="s">
        <v>580</v>
      </c>
      <c r="B83" s="41" t="s">
        <v>360</v>
      </c>
      <c r="C83" s="41" t="s">
        <v>543</v>
      </c>
      <c r="D83" s="41" t="s">
        <v>366</v>
      </c>
      <c r="E83" s="46">
        <v>36000</v>
      </c>
      <c r="F83" s="46">
        <f t="shared" si="2"/>
        <v>47880</v>
      </c>
      <c r="G83" s="41" t="s">
        <v>624</v>
      </c>
      <c r="H83" s="47"/>
      <c r="I83" s="35"/>
    </row>
    <row r="84" spans="1:9" ht="9" hidden="1" customHeight="1" x14ac:dyDescent="0.15">
      <c r="A84" s="36" t="s">
        <v>371</v>
      </c>
      <c r="B84" s="37" t="s">
        <v>360</v>
      </c>
      <c r="C84" s="37" t="s">
        <v>312</v>
      </c>
      <c r="D84" s="37" t="s">
        <v>372</v>
      </c>
      <c r="E84" s="38">
        <v>34000</v>
      </c>
      <c r="F84" s="38">
        <f t="shared" si="2"/>
        <v>45220</v>
      </c>
      <c r="G84" s="37" t="s">
        <v>624</v>
      </c>
      <c r="H84" s="39"/>
      <c r="I84" s="35"/>
    </row>
    <row r="85" spans="1:9" ht="13.75" customHeight="1" x14ac:dyDescent="0.15">
      <c r="A85" s="40" t="s">
        <v>448</v>
      </c>
      <c r="B85" s="41" t="s">
        <v>360</v>
      </c>
      <c r="C85" s="41" t="s">
        <v>413</v>
      </c>
      <c r="D85" s="41" t="s">
        <v>372</v>
      </c>
      <c r="E85" s="46">
        <v>34000</v>
      </c>
      <c r="F85" s="46">
        <f t="shared" si="2"/>
        <v>45220</v>
      </c>
      <c r="G85" s="41" t="s">
        <v>624</v>
      </c>
      <c r="H85" s="47"/>
      <c r="I85" s="35"/>
    </row>
    <row r="86" spans="1:9" ht="13.75" customHeight="1" x14ac:dyDescent="0.15">
      <c r="A86" s="36" t="s">
        <v>451</v>
      </c>
      <c r="B86" s="37" t="s">
        <v>360</v>
      </c>
      <c r="C86" s="37" t="s">
        <v>413</v>
      </c>
      <c r="D86" s="37" t="s">
        <v>380</v>
      </c>
      <c r="E86" s="38">
        <v>25000</v>
      </c>
      <c r="F86" s="38">
        <f t="shared" si="2"/>
        <v>33250</v>
      </c>
      <c r="G86" s="37" t="s">
        <v>624</v>
      </c>
      <c r="H86" s="39"/>
      <c r="I86" s="35"/>
    </row>
    <row r="87" spans="1:9" ht="9" hidden="1" customHeight="1" x14ac:dyDescent="0.15">
      <c r="A87" s="40" t="s">
        <v>381</v>
      </c>
      <c r="B87" s="41" t="s">
        <v>360</v>
      </c>
      <c r="C87" s="41" t="s">
        <v>312</v>
      </c>
      <c r="D87" s="41" t="s">
        <v>382</v>
      </c>
      <c r="E87" s="46">
        <v>24000</v>
      </c>
      <c r="F87" s="46">
        <f t="shared" si="2"/>
        <v>31920</v>
      </c>
      <c r="G87" s="41" t="s">
        <v>624</v>
      </c>
      <c r="H87" s="47"/>
      <c r="I87" s="35"/>
    </row>
    <row r="88" spans="1:9" ht="13.75" customHeight="1" x14ac:dyDescent="0.15">
      <c r="A88" s="36" t="s">
        <v>452</v>
      </c>
      <c r="B88" s="37" t="s">
        <v>360</v>
      </c>
      <c r="C88" s="37" t="s">
        <v>413</v>
      </c>
      <c r="D88" s="37" t="s">
        <v>382</v>
      </c>
      <c r="E88" s="38">
        <v>24000</v>
      </c>
      <c r="F88" s="38">
        <f t="shared" si="2"/>
        <v>31920</v>
      </c>
      <c r="G88" s="37" t="s">
        <v>624</v>
      </c>
      <c r="H88" s="39"/>
      <c r="I88" s="35"/>
    </row>
    <row r="89" spans="1:9" ht="9" hidden="1" customHeight="1" x14ac:dyDescent="0.15">
      <c r="A89" s="40" t="s">
        <v>516</v>
      </c>
      <c r="B89" s="41" t="s">
        <v>360</v>
      </c>
      <c r="C89" s="41" t="s">
        <v>468</v>
      </c>
      <c r="D89" s="41" t="s">
        <v>364</v>
      </c>
      <c r="E89" s="46">
        <v>9000</v>
      </c>
      <c r="F89" s="46">
        <f t="shared" si="2"/>
        <v>11970</v>
      </c>
      <c r="G89" s="41" t="s">
        <v>624</v>
      </c>
      <c r="H89" s="47"/>
      <c r="I89" s="35"/>
    </row>
    <row r="90" spans="1:9" ht="9" hidden="1" customHeight="1" x14ac:dyDescent="0.15">
      <c r="A90" s="36" t="s">
        <v>517</v>
      </c>
      <c r="B90" s="37" t="s">
        <v>360</v>
      </c>
      <c r="C90" s="37" t="s">
        <v>468</v>
      </c>
      <c r="D90" s="37" t="s">
        <v>366</v>
      </c>
      <c r="E90" s="38">
        <v>3000</v>
      </c>
      <c r="F90" s="38">
        <f t="shared" si="2"/>
        <v>3990</v>
      </c>
      <c r="G90" s="37" t="s">
        <v>624</v>
      </c>
      <c r="H90" s="39"/>
      <c r="I90" s="35"/>
    </row>
    <row r="91" spans="1:9" ht="9" hidden="1" customHeight="1" x14ac:dyDescent="0.15">
      <c r="A91" s="40" t="s">
        <v>478</v>
      </c>
      <c r="B91" s="41" t="s">
        <v>330</v>
      </c>
      <c r="C91" s="41" t="s">
        <v>468</v>
      </c>
      <c r="D91" s="41" t="s">
        <v>424</v>
      </c>
      <c r="E91" s="46">
        <v>1173000</v>
      </c>
      <c r="F91" s="46">
        <f t="shared" si="2"/>
        <v>1560090</v>
      </c>
      <c r="G91" s="41" t="s">
        <v>624</v>
      </c>
      <c r="H91" s="47"/>
      <c r="I91" s="35"/>
    </row>
    <row r="92" spans="1:9" ht="9" hidden="1" customHeight="1" x14ac:dyDescent="0.15">
      <c r="A92" s="36" t="s">
        <v>553</v>
      </c>
      <c r="B92" s="37" t="s">
        <v>330</v>
      </c>
      <c r="C92" s="37" t="s">
        <v>543</v>
      </c>
      <c r="D92" s="37" t="s">
        <v>424</v>
      </c>
      <c r="E92" s="38">
        <v>1063000</v>
      </c>
      <c r="F92" s="38">
        <f t="shared" si="2"/>
        <v>1413790</v>
      </c>
      <c r="G92" s="37" t="s">
        <v>624</v>
      </c>
      <c r="H92" s="39"/>
      <c r="I92" s="35"/>
    </row>
    <row r="93" spans="1:9" ht="13.75" customHeight="1" x14ac:dyDescent="0.15">
      <c r="A93" s="40" t="s">
        <v>423</v>
      </c>
      <c r="B93" s="41" t="s">
        <v>330</v>
      </c>
      <c r="C93" s="41" t="s">
        <v>413</v>
      </c>
      <c r="D93" s="41" t="s">
        <v>424</v>
      </c>
      <c r="E93" s="46">
        <v>702000</v>
      </c>
      <c r="F93" s="46">
        <f t="shared" si="2"/>
        <v>933660</v>
      </c>
      <c r="G93" s="41" t="s">
        <v>624</v>
      </c>
      <c r="H93" s="47"/>
      <c r="I93" s="35"/>
    </row>
    <row r="94" spans="1:9" ht="9" hidden="1" customHeight="1" x14ac:dyDescent="0.15">
      <c r="A94" s="36" t="s">
        <v>552</v>
      </c>
      <c r="B94" s="37" t="s">
        <v>330</v>
      </c>
      <c r="C94" s="37" t="s">
        <v>543</v>
      </c>
      <c r="D94" s="37" t="s">
        <v>331</v>
      </c>
      <c r="E94" s="38">
        <v>695000</v>
      </c>
      <c r="F94" s="38">
        <f t="shared" si="2"/>
        <v>924350</v>
      </c>
      <c r="G94" s="37" t="s">
        <v>624</v>
      </c>
      <c r="H94" s="39"/>
      <c r="I94" s="35"/>
    </row>
    <row r="95" spans="1:9" ht="9" hidden="1" customHeight="1" x14ac:dyDescent="0.15">
      <c r="A95" s="40" t="s">
        <v>477</v>
      </c>
      <c r="B95" s="41" t="s">
        <v>330</v>
      </c>
      <c r="C95" s="41" t="s">
        <v>468</v>
      </c>
      <c r="D95" s="41" t="s">
        <v>331</v>
      </c>
      <c r="E95" s="46">
        <v>692000</v>
      </c>
      <c r="F95" s="46">
        <f t="shared" si="2"/>
        <v>920360</v>
      </c>
      <c r="G95" s="41" t="s">
        <v>624</v>
      </c>
      <c r="H95" s="47"/>
      <c r="I95" s="35"/>
    </row>
    <row r="96" spans="1:9" ht="9" hidden="1" customHeight="1" x14ac:dyDescent="0.15">
      <c r="A96" s="36" t="s">
        <v>329</v>
      </c>
      <c r="B96" s="37" t="s">
        <v>330</v>
      </c>
      <c r="C96" s="37" t="s">
        <v>312</v>
      </c>
      <c r="D96" s="37" t="s">
        <v>331</v>
      </c>
      <c r="E96" s="38">
        <v>623000</v>
      </c>
      <c r="F96" s="38">
        <f t="shared" si="2"/>
        <v>828590</v>
      </c>
      <c r="G96" s="37" t="s">
        <v>624</v>
      </c>
      <c r="H96" s="39"/>
      <c r="I96" s="35"/>
    </row>
    <row r="97" spans="1:9" ht="13.75" customHeight="1" x14ac:dyDescent="0.15">
      <c r="A97" s="40" t="s">
        <v>422</v>
      </c>
      <c r="B97" s="41" t="s">
        <v>330</v>
      </c>
      <c r="C97" s="41" t="s">
        <v>413</v>
      </c>
      <c r="D97" s="41" t="s">
        <v>331</v>
      </c>
      <c r="E97" s="46">
        <v>405000</v>
      </c>
      <c r="F97" s="46">
        <f t="shared" si="2"/>
        <v>538650</v>
      </c>
      <c r="G97" s="41" t="s">
        <v>624</v>
      </c>
      <c r="H97" s="47"/>
      <c r="I97" s="35"/>
    </row>
    <row r="98" spans="1:9" ht="9" hidden="1" customHeight="1" x14ac:dyDescent="0.15">
      <c r="A98" s="36" t="s">
        <v>555</v>
      </c>
      <c r="B98" s="37" t="s">
        <v>330</v>
      </c>
      <c r="C98" s="37" t="s">
        <v>543</v>
      </c>
      <c r="D98" s="37" t="s">
        <v>482</v>
      </c>
      <c r="E98" s="38">
        <v>386000</v>
      </c>
      <c r="F98" s="38">
        <f t="shared" si="2"/>
        <v>513380</v>
      </c>
      <c r="G98" s="37" t="s">
        <v>624</v>
      </c>
      <c r="H98" s="39"/>
      <c r="I98" s="35"/>
    </row>
    <row r="99" spans="1:9" ht="9" hidden="1" customHeight="1" x14ac:dyDescent="0.15">
      <c r="A99" s="40" t="s">
        <v>481</v>
      </c>
      <c r="B99" s="41" t="s">
        <v>330</v>
      </c>
      <c r="C99" s="41" t="s">
        <v>468</v>
      </c>
      <c r="D99" s="41" t="s">
        <v>482</v>
      </c>
      <c r="E99" s="46">
        <v>264000</v>
      </c>
      <c r="F99" s="46">
        <f t="shared" si="2"/>
        <v>351120</v>
      </c>
      <c r="G99" s="41" t="s">
        <v>624</v>
      </c>
      <c r="H99" s="47"/>
      <c r="I99" s="35"/>
    </row>
    <row r="100" spans="1:9" ht="9" hidden="1" customHeight="1" x14ac:dyDescent="0.15">
      <c r="A100" s="36" t="s">
        <v>554</v>
      </c>
      <c r="B100" s="37" t="s">
        <v>330</v>
      </c>
      <c r="C100" s="37" t="s">
        <v>543</v>
      </c>
      <c r="D100" s="37" t="s">
        <v>480</v>
      </c>
      <c r="E100" s="38">
        <v>129000</v>
      </c>
      <c r="F100" s="38">
        <f t="shared" si="2"/>
        <v>171570</v>
      </c>
      <c r="G100" s="37" t="s">
        <v>624</v>
      </c>
      <c r="H100" s="39"/>
      <c r="I100" s="35"/>
    </row>
    <row r="101" spans="1:9" ht="9" hidden="1" customHeight="1" x14ac:dyDescent="0.15">
      <c r="A101" s="40" t="s">
        <v>479</v>
      </c>
      <c r="B101" s="41" t="s">
        <v>330</v>
      </c>
      <c r="C101" s="41" t="s">
        <v>468</v>
      </c>
      <c r="D101" s="41" t="s">
        <v>480</v>
      </c>
      <c r="E101" s="46">
        <v>76000</v>
      </c>
      <c r="F101" s="46">
        <f t="shared" si="2"/>
        <v>101080</v>
      </c>
      <c r="G101" s="41" t="s">
        <v>624</v>
      </c>
      <c r="H101" s="47"/>
      <c r="I101" s="35"/>
    </row>
    <row r="102" spans="1:9" ht="9" hidden="1" customHeight="1" x14ac:dyDescent="0.15">
      <c r="A102" s="36" t="s">
        <v>351</v>
      </c>
      <c r="B102" s="37" t="s">
        <v>352</v>
      </c>
      <c r="C102" s="37" t="s">
        <v>312</v>
      </c>
      <c r="D102" s="37" t="s">
        <v>353</v>
      </c>
      <c r="E102" s="38">
        <v>1080098</v>
      </c>
      <c r="F102" s="38">
        <f t="shared" si="2"/>
        <v>1437730</v>
      </c>
      <c r="G102" s="37" t="s">
        <v>624</v>
      </c>
      <c r="H102" s="39"/>
      <c r="I102" s="35"/>
    </row>
    <row r="103" spans="1:9" ht="9" hidden="1" customHeight="1" x14ac:dyDescent="0.15">
      <c r="A103" s="40" t="s">
        <v>506</v>
      </c>
      <c r="B103" s="41" t="s">
        <v>352</v>
      </c>
      <c r="C103" s="41" t="s">
        <v>468</v>
      </c>
      <c r="D103" s="41" t="s">
        <v>507</v>
      </c>
      <c r="E103" s="46">
        <v>464695</v>
      </c>
      <c r="F103" s="46">
        <f t="shared" si="2"/>
        <v>618450</v>
      </c>
      <c r="G103" s="41" t="s">
        <v>624</v>
      </c>
      <c r="H103" s="47"/>
      <c r="I103" s="35"/>
    </row>
    <row r="104" spans="1:9" ht="9" hidden="1" customHeight="1" x14ac:dyDescent="0.15">
      <c r="A104" s="36" t="s">
        <v>621</v>
      </c>
      <c r="B104" s="37" t="s">
        <v>410</v>
      </c>
      <c r="C104" s="37" t="s">
        <v>543</v>
      </c>
      <c r="D104" s="37" t="s">
        <v>411</v>
      </c>
      <c r="E104" s="38">
        <v>1125000</v>
      </c>
      <c r="F104" s="38">
        <v>1125000</v>
      </c>
      <c r="G104" s="37" t="s">
        <v>624</v>
      </c>
      <c r="H104" s="39"/>
      <c r="I104" s="35"/>
    </row>
    <row r="105" spans="1:9" ht="9" hidden="1" customHeight="1" x14ac:dyDescent="0.15">
      <c r="A105" s="40" t="s">
        <v>409</v>
      </c>
      <c r="B105" s="41" t="s">
        <v>410</v>
      </c>
      <c r="C105" s="41" t="s">
        <v>312</v>
      </c>
      <c r="D105" s="41" t="s">
        <v>411</v>
      </c>
      <c r="E105" s="46">
        <v>729000</v>
      </c>
      <c r="F105" s="46">
        <v>729000</v>
      </c>
      <c r="G105" s="41" t="s">
        <v>624</v>
      </c>
      <c r="H105" s="47"/>
      <c r="I105" s="35"/>
    </row>
    <row r="106" spans="1:9" ht="9" hidden="1" customHeight="1" x14ac:dyDescent="0.15">
      <c r="A106" s="36" t="s">
        <v>541</v>
      </c>
      <c r="B106" s="37" t="s">
        <v>410</v>
      </c>
      <c r="C106" s="37" t="s">
        <v>468</v>
      </c>
      <c r="D106" s="37" t="s">
        <v>411</v>
      </c>
      <c r="E106" s="38">
        <v>667000</v>
      </c>
      <c r="F106" s="38">
        <v>667000</v>
      </c>
      <c r="G106" s="37" t="s">
        <v>624</v>
      </c>
      <c r="H106" s="39"/>
      <c r="I106" s="35"/>
    </row>
    <row r="107" spans="1:9" ht="13.75" customHeight="1" x14ac:dyDescent="0.15">
      <c r="A107" s="40" t="s">
        <v>466</v>
      </c>
      <c r="B107" s="41" t="s">
        <v>410</v>
      </c>
      <c r="C107" s="41" t="s">
        <v>413</v>
      </c>
      <c r="D107" s="41" t="s">
        <v>411</v>
      </c>
      <c r="E107" s="46">
        <v>479000</v>
      </c>
      <c r="F107" s="46">
        <v>479000</v>
      </c>
      <c r="G107" s="41" t="s">
        <v>624</v>
      </c>
      <c r="H107" s="47"/>
      <c r="I107" s="35"/>
    </row>
    <row r="108" spans="1:9" ht="9" hidden="1" customHeight="1" x14ac:dyDescent="0.15">
      <c r="A108" s="36" t="s">
        <v>339</v>
      </c>
      <c r="B108" s="37" t="s">
        <v>340</v>
      </c>
      <c r="C108" s="37" t="s">
        <v>312</v>
      </c>
      <c r="D108" s="37" t="s">
        <v>341</v>
      </c>
      <c r="E108" s="38">
        <v>519078</v>
      </c>
      <c r="F108" s="38">
        <f t="shared" ref="F108:F118" si="3">(CEILING(E108:E108,1000))*1.33</f>
        <v>691600</v>
      </c>
      <c r="G108" s="37" t="s">
        <v>632</v>
      </c>
      <c r="H108" s="39"/>
      <c r="I108" s="35"/>
    </row>
    <row r="109" spans="1:9" ht="9" hidden="1" customHeight="1" x14ac:dyDescent="0.15">
      <c r="A109" s="40" t="s">
        <v>342</v>
      </c>
      <c r="B109" s="41" t="s">
        <v>343</v>
      </c>
      <c r="C109" s="41" t="s">
        <v>312</v>
      </c>
      <c r="D109" s="41" t="s">
        <v>344</v>
      </c>
      <c r="E109" s="46">
        <v>969000</v>
      </c>
      <c r="F109" s="46">
        <f t="shared" si="3"/>
        <v>1288770</v>
      </c>
      <c r="G109" s="41" t="s">
        <v>632</v>
      </c>
      <c r="H109" s="47"/>
      <c r="I109" s="35"/>
    </row>
    <row r="110" spans="1:9" ht="9" hidden="1" customHeight="1" x14ac:dyDescent="0.15">
      <c r="A110" s="36" t="s">
        <v>345</v>
      </c>
      <c r="B110" s="37" t="s">
        <v>343</v>
      </c>
      <c r="C110" s="37" t="s">
        <v>312</v>
      </c>
      <c r="D110" s="37" t="s">
        <v>346</v>
      </c>
      <c r="E110" s="38">
        <v>1673019</v>
      </c>
      <c r="F110" s="38">
        <f t="shared" si="3"/>
        <v>2226420</v>
      </c>
      <c r="G110" s="37" t="s">
        <v>632</v>
      </c>
      <c r="H110" s="39"/>
      <c r="I110" s="35"/>
    </row>
    <row r="111" spans="1:9" ht="9" hidden="1" customHeight="1" x14ac:dyDescent="0.15">
      <c r="A111" s="40" t="s">
        <v>347</v>
      </c>
      <c r="B111" s="41" t="s">
        <v>343</v>
      </c>
      <c r="C111" s="41" t="s">
        <v>312</v>
      </c>
      <c r="D111" s="41" t="s">
        <v>348</v>
      </c>
      <c r="E111" s="46">
        <v>4625000</v>
      </c>
      <c r="F111" s="46">
        <f t="shared" si="3"/>
        <v>6151250</v>
      </c>
      <c r="G111" s="41" t="s">
        <v>632</v>
      </c>
      <c r="H111" s="47"/>
      <c r="I111" s="35"/>
    </row>
    <row r="112" spans="1:9" ht="13" hidden="1" customHeight="1" x14ac:dyDescent="0.15">
      <c r="A112" s="36" t="s">
        <v>349</v>
      </c>
      <c r="B112" s="37" t="s">
        <v>350</v>
      </c>
      <c r="C112" s="37" t="s">
        <v>312</v>
      </c>
      <c r="D112" s="37" t="s">
        <v>341</v>
      </c>
      <c r="E112" s="38">
        <v>511849</v>
      </c>
      <c r="F112" s="38">
        <f t="shared" si="3"/>
        <v>680960</v>
      </c>
      <c r="G112" s="37" t="s">
        <v>632</v>
      </c>
      <c r="H112" s="39"/>
      <c r="I112" s="35"/>
    </row>
    <row r="113" spans="1:9" ht="9" hidden="1" customHeight="1" x14ac:dyDescent="0.15">
      <c r="A113" s="40" t="s">
        <v>356</v>
      </c>
      <c r="B113" s="41" t="s">
        <v>357</v>
      </c>
      <c r="C113" s="41" t="s">
        <v>312</v>
      </c>
      <c r="D113" s="41" t="s">
        <v>341</v>
      </c>
      <c r="E113" s="46">
        <v>624750</v>
      </c>
      <c r="F113" s="46">
        <f t="shared" si="3"/>
        <v>831250</v>
      </c>
      <c r="G113" s="41" t="s">
        <v>632</v>
      </c>
      <c r="H113" s="47"/>
      <c r="I113" s="35"/>
    </row>
    <row r="114" spans="1:9" ht="9" hidden="1" customHeight="1" x14ac:dyDescent="0.15">
      <c r="A114" s="36" t="s">
        <v>358</v>
      </c>
      <c r="B114" s="37" t="s">
        <v>357</v>
      </c>
      <c r="C114" s="37" t="s">
        <v>312</v>
      </c>
      <c r="D114" s="37" t="s">
        <v>320</v>
      </c>
      <c r="E114" s="38">
        <v>92000</v>
      </c>
      <c r="F114" s="38">
        <f t="shared" si="3"/>
        <v>122360</v>
      </c>
      <c r="G114" s="37" t="s">
        <v>632</v>
      </c>
      <c r="H114" s="39"/>
      <c r="I114" s="35"/>
    </row>
    <row r="115" spans="1:9" ht="9" hidden="1" customHeight="1" x14ac:dyDescent="0.15">
      <c r="A115" s="40" t="s">
        <v>336</v>
      </c>
      <c r="B115" s="41" t="s">
        <v>333</v>
      </c>
      <c r="C115" s="41" t="s">
        <v>312</v>
      </c>
      <c r="D115" s="41" t="s">
        <v>337</v>
      </c>
      <c r="E115" s="46">
        <v>1391000</v>
      </c>
      <c r="F115" s="46">
        <f t="shared" si="3"/>
        <v>1850030</v>
      </c>
      <c r="G115" s="41" t="s">
        <v>632</v>
      </c>
      <c r="H115" s="48" t="s">
        <v>338</v>
      </c>
      <c r="I115" s="35"/>
    </row>
    <row r="116" spans="1:9" ht="9" hidden="1" customHeight="1" x14ac:dyDescent="0.15">
      <c r="A116" s="36" t="s">
        <v>385</v>
      </c>
      <c r="B116" s="37" t="s">
        <v>360</v>
      </c>
      <c r="C116" s="37" t="s">
        <v>312</v>
      </c>
      <c r="D116" s="37" t="s">
        <v>386</v>
      </c>
      <c r="E116" s="38">
        <v>100000</v>
      </c>
      <c r="F116" s="38">
        <f t="shared" si="3"/>
        <v>133000</v>
      </c>
      <c r="G116" s="37" t="s">
        <v>632</v>
      </c>
      <c r="H116" s="39"/>
      <c r="I116" s="35"/>
    </row>
    <row r="117" spans="1:9" ht="9" hidden="1" customHeight="1" x14ac:dyDescent="0.15">
      <c r="A117" s="40" t="s">
        <v>387</v>
      </c>
      <c r="B117" s="41" t="s">
        <v>388</v>
      </c>
      <c r="C117" s="41" t="s">
        <v>312</v>
      </c>
      <c r="D117" s="41" t="s">
        <v>389</v>
      </c>
      <c r="E117" s="46">
        <v>95200</v>
      </c>
      <c r="F117" s="46">
        <f t="shared" si="3"/>
        <v>127680</v>
      </c>
      <c r="G117" s="41" t="s">
        <v>632</v>
      </c>
      <c r="H117" s="47"/>
      <c r="I117" s="35"/>
    </row>
    <row r="118" spans="1:9" ht="9" hidden="1" customHeight="1" x14ac:dyDescent="0.15">
      <c r="A118" s="36" t="s">
        <v>390</v>
      </c>
      <c r="B118" s="37" t="s">
        <v>388</v>
      </c>
      <c r="C118" s="37" t="s">
        <v>312</v>
      </c>
      <c r="D118" s="37" t="s">
        <v>391</v>
      </c>
      <c r="E118" s="38">
        <v>590000</v>
      </c>
      <c r="F118" s="38">
        <f t="shared" si="3"/>
        <v>784700</v>
      </c>
      <c r="G118" s="37" t="s">
        <v>632</v>
      </c>
      <c r="H118" s="39"/>
      <c r="I118" s="35"/>
    </row>
    <row r="119" spans="1:9" ht="9" hidden="1" customHeight="1" x14ac:dyDescent="0.15">
      <c r="A119" s="40" t="s">
        <v>400</v>
      </c>
      <c r="B119" s="41" t="s">
        <v>401</v>
      </c>
      <c r="C119" s="41" t="s">
        <v>312</v>
      </c>
      <c r="D119" s="41" t="s">
        <v>402</v>
      </c>
      <c r="E119" s="46">
        <v>1375000</v>
      </c>
      <c r="F119" s="46">
        <v>1375000</v>
      </c>
      <c r="G119" s="41" t="s">
        <v>632</v>
      </c>
      <c r="H119" s="47"/>
      <c r="I119" s="35"/>
    </row>
    <row r="120" spans="1:9" ht="9" hidden="1" customHeight="1" x14ac:dyDescent="0.15">
      <c r="A120" s="36" t="s">
        <v>403</v>
      </c>
      <c r="B120" s="37" t="s">
        <v>401</v>
      </c>
      <c r="C120" s="37" t="s">
        <v>312</v>
      </c>
      <c r="D120" s="37" t="s">
        <v>404</v>
      </c>
      <c r="E120" s="38">
        <v>60000</v>
      </c>
      <c r="F120" s="38">
        <v>60000</v>
      </c>
      <c r="G120" s="37" t="s">
        <v>632</v>
      </c>
      <c r="H120" s="39"/>
      <c r="I120" s="35"/>
    </row>
    <row r="121" spans="1:9" ht="9" hidden="1" customHeight="1" x14ac:dyDescent="0.15">
      <c r="A121" s="40" t="s">
        <v>405</v>
      </c>
      <c r="B121" s="41" t="s">
        <v>401</v>
      </c>
      <c r="C121" s="41" t="s">
        <v>312</v>
      </c>
      <c r="D121" s="41" t="s">
        <v>406</v>
      </c>
      <c r="E121" s="46">
        <v>60000</v>
      </c>
      <c r="F121" s="46">
        <v>60000</v>
      </c>
      <c r="G121" s="41" t="s">
        <v>632</v>
      </c>
      <c r="H121" s="47"/>
      <c r="I121" s="35"/>
    </row>
    <row r="122" spans="1:9" ht="9" hidden="1" customHeight="1" x14ac:dyDescent="0.15">
      <c r="A122" s="36" t="s">
        <v>407</v>
      </c>
      <c r="B122" s="37" t="s">
        <v>401</v>
      </c>
      <c r="C122" s="37" t="s">
        <v>312</v>
      </c>
      <c r="D122" s="37" t="s">
        <v>408</v>
      </c>
      <c r="E122" s="38">
        <v>60000</v>
      </c>
      <c r="F122" s="38">
        <v>60000</v>
      </c>
      <c r="G122" s="37" t="s">
        <v>632</v>
      </c>
      <c r="H122" s="39"/>
      <c r="I122" s="35"/>
    </row>
    <row r="123" spans="1:9" ht="9" hidden="1" customHeight="1" x14ac:dyDescent="0.15">
      <c r="A123" s="40" t="s">
        <v>359</v>
      </c>
      <c r="B123" s="41" t="s">
        <v>360</v>
      </c>
      <c r="C123" s="41" t="s">
        <v>312</v>
      </c>
      <c r="D123" s="41" t="s">
        <v>361</v>
      </c>
      <c r="E123" s="46">
        <v>360000</v>
      </c>
      <c r="F123" s="46">
        <f t="shared" ref="F123:F130" si="4">(CEILING(E123:E123,1000))*1.33</f>
        <v>478800</v>
      </c>
      <c r="G123" s="41" t="s">
        <v>632</v>
      </c>
      <c r="H123" s="48" t="s">
        <v>362</v>
      </c>
      <c r="I123" s="35"/>
    </row>
    <row r="124" spans="1:9" ht="13.75" customHeight="1" x14ac:dyDescent="0.15">
      <c r="A124" s="36" t="s">
        <v>429</v>
      </c>
      <c r="B124" s="37" t="s">
        <v>340</v>
      </c>
      <c r="C124" s="37" t="s">
        <v>413</v>
      </c>
      <c r="D124" s="37" t="s">
        <v>430</v>
      </c>
      <c r="E124" s="38">
        <v>428400</v>
      </c>
      <c r="F124" s="38">
        <f t="shared" si="4"/>
        <v>570570</v>
      </c>
      <c r="G124" s="37" t="s">
        <v>632</v>
      </c>
      <c r="H124" s="39"/>
      <c r="I124" s="35"/>
    </row>
    <row r="125" spans="1:9" ht="13.75" customHeight="1" x14ac:dyDescent="0.15">
      <c r="A125" s="40" t="s">
        <v>440</v>
      </c>
      <c r="B125" s="41" t="s">
        <v>360</v>
      </c>
      <c r="C125" s="41" t="s">
        <v>413</v>
      </c>
      <c r="D125" s="41" t="s">
        <v>361</v>
      </c>
      <c r="E125" s="46">
        <v>108000</v>
      </c>
      <c r="F125" s="46">
        <f t="shared" si="4"/>
        <v>143640</v>
      </c>
      <c r="G125" s="41" t="s">
        <v>632</v>
      </c>
      <c r="H125" s="47"/>
      <c r="I125" s="35"/>
    </row>
    <row r="126" spans="1:9" ht="13.75" customHeight="1" x14ac:dyDescent="0.15">
      <c r="A126" s="36" t="s">
        <v>438</v>
      </c>
      <c r="B126" s="37" t="s">
        <v>357</v>
      </c>
      <c r="C126" s="37" t="s">
        <v>413</v>
      </c>
      <c r="D126" s="37" t="s">
        <v>439</v>
      </c>
      <c r="E126" s="38">
        <v>1164266</v>
      </c>
      <c r="F126" s="38">
        <f t="shared" si="4"/>
        <v>1549450</v>
      </c>
      <c r="G126" s="37" t="s">
        <v>632</v>
      </c>
      <c r="H126" s="39"/>
      <c r="I126" s="35"/>
    </row>
    <row r="127" spans="1:9" ht="13.75" customHeight="1" x14ac:dyDescent="0.15">
      <c r="A127" s="40" t="s">
        <v>455</v>
      </c>
      <c r="B127" s="41" t="s">
        <v>360</v>
      </c>
      <c r="C127" s="41" t="s">
        <v>413</v>
      </c>
      <c r="D127" s="41" t="s">
        <v>386</v>
      </c>
      <c r="E127" s="46">
        <v>100000</v>
      </c>
      <c r="F127" s="46">
        <f t="shared" si="4"/>
        <v>133000</v>
      </c>
      <c r="G127" s="41" t="s">
        <v>632</v>
      </c>
      <c r="H127" s="47"/>
      <c r="I127" s="35"/>
    </row>
    <row r="128" spans="1:9" ht="13.75" customHeight="1" x14ac:dyDescent="0.15">
      <c r="A128" s="36" t="s">
        <v>456</v>
      </c>
      <c r="B128" s="37" t="s">
        <v>388</v>
      </c>
      <c r="C128" s="37" t="s">
        <v>413</v>
      </c>
      <c r="D128" s="37" t="s">
        <v>389</v>
      </c>
      <c r="E128" s="38">
        <v>171600</v>
      </c>
      <c r="F128" s="38">
        <f t="shared" si="4"/>
        <v>228760</v>
      </c>
      <c r="G128" s="37" t="s">
        <v>632</v>
      </c>
      <c r="H128" s="39"/>
      <c r="I128" s="35"/>
    </row>
    <row r="129" spans="1:9" ht="13.75" customHeight="1" x14ac:dyDescent="0.15">
      <c r="A129" s="40" t="s">
        <v>457</v>
      </c>
      <c r="B129" s="41" t="s">
        <v>388</v>
      </c>
      <c r="C129" s="41" t="s">
        <v>413</v>
      </c>
      <c r="D129" s="41" t="s">
        <v>391</v>
      </c>
      <c r="E129" s="46">
        <v>406000</v>
      </c>
      <c r="F129" s="46">
        <f t="shared" si="4"/>
        <v>539980</v>
      </c>
      <c r="G129" s="41" t="s">
        <v>632</v>
      </c>
      <c r="H129" s="47"/>
      <c r="I129" s="35"/>
    </row>
    <row r="130" spans="1:9" ht="13.75" customHeight="1" x14ac:dyDescent="0.15">
      <c r="A130" s="36" t="s">
        <v>458</v>
      </c>
      <c r="B130" s="37" t="s">
        <v>388</v>
      </c>
      <c r="C130" s="37" t="s">
        <v>413</v>
      </c>
      <c r="D130" s="37" t="s">
        <v>459</v>
      </c>
      <c r="E130" s="38">
        <v>490875</v>
      </c>
      <c r="F130" s="38">
        <f t="shared" si="4"/>
        <v>653030</v>
      </c>
      <c r="G130" s="37" t="s">
        <v>632</v>
      </c>
      <c r="H130" s="39"/>
      <c r="I130" s="35"/>
    </row>
    <row r="131" spans="1:9" ht="13.75" customHeight="1" x14ac:dyDescent="0.15">
      <c r="A131" s="40" t="s">
        <v>463</v>
      </c>
      <c r="B131" s="41" t="s">
        <v>401</v>
      </c>
      <c r="C131" s="41" t="s">
        <v>413</v>
      </c>
      <c r="D131" s="41" t="s">
        <v>402</v>
      </c>
      <c r="E131" s="46">
        <v>917000</v>
      </c>
      <c r="F131" s="46">
        <v>917000</v>
      </c>
      <c r="G131" s="41" t="s">
        <v>632</v>
      </c>
      <c r="H131" s="47"/>
      <c r="I131" s="35"/>
    </row>
    <row r="132" spans="1:9" ht="13.75" customHeight="1" x14ac:dyDescent="0.15">
      <c r="A132" s="36" t="s">
        <v>464</v>
      </c>
      <c r="B132" s="37" t="s">
        <v>401</v>
      </c>
      <c r="C132" s="37" t="s">
        <v>413</v>
      </c>
      <c r="D132" s="37" t="s">
        <v>404</v>
      </c>
      <c r="E132" s="38">
        <v>60000</v>
      </c>
      <c r="F132" s="38">
        <v>60000</v>
      </c>
      <c r="G132" s="37" t="s">
        <v>632</v>
      </c>
      <c r="H132" s="39"/>
      <c r="I132" s="35"/>
    </row>
    <row r="133" spans="1:9" ht="13.75" customHeight="1" x14ac:dyDescent="0.15">
      <c r="A133" s="40" t="s">
        <v>465</v>
      </c>
      <c r="B133" s="41" t="s">
        <v>401</v>
      </c>
      <c r="C133" s="41" t="s">
        <v>413</v>
      </c>
      <c r="D133" s="41" t="s">
        <v>408</v>
      </c>
      <c r="E133" s="46">
        <v>60000</v>
      </c>
      <c r="F133" s="46">
        <v>60000</v>
      </c>
      <c r="G133" s="41" t="s">
        <v>632</v>
      </c>
      <c r="H133" s="47"/>
      <c r="I133" s="35"/>
    </row>
    <row r="134" spans="1:9" ht="9" hidden="1" customHeight="1" x14ac:dyDescent="0.15">
      <c r="A134" s="36" t="s">
        <v>483</v>
      </c>
      <c r="B134" s="37" t="s">
        <v>333</v>
      </c>
      <c r="C134" s="37" t="s">
        <v>468</v>
      </c>
      <c r="D134" s="37" t="s">
        <v>484</v>
      </c>
      <c r="E134" s="38">
        <v>2756000</v>
      </c>
      <c r="F134" s="38">
        <f t="shared" ref="F134:F155" si="5">(CEILING(E134:E134,1000))*1.33</f>
        <v>3665480</v>
      </c>
      <c r="G134" s="37" t="s">
        <v>632</v>
      </c>
      <c r="H134" s="49" t="s">
        <v>426</v>
      </c>
      <c r="I134" s="35"/>
    </row>
    <row r="135" spans="1:9" ht="9" hidden="1" customHeight="1" x14ac:dyDescent="0.15">
      <c r="A135" s="40" t="s">
        <v>485</v>
      </c>
      <c r="B135" s="41" t="s">
        <v>340</v>
      </c>
      <c r="C135" s="41" t="s">
        <v>468</v>
      </c>
      <c r="D135" s="41" t="s">
        <v>486</v>
      </c>
      <c r="E135" s="46">
        <v>2317644</v>
      </c>
      <c r="F135" s="46">
        <f t="shared" si="5"/>
        <v>3082940</v>
      </c>
      <c r="G135" s="41" t="s">
        <v>632</v>
      </c>
      <c r="H135" s="47"/>
      <c r="I135" s="35"/>
    </row>
    <row r="136" spans="1:9" ht="9" hidden="1" customHeight="1" x14ac:dyDescent="0.15">
      <c r="A136" s="36" t="s">
        <v>487</v>
      </c>
      <c r="B136" s="37" t="s">
        <v>340</v>
      </c>
      <c r="C136" s="37" t="s">
        <v>468</v>
      </c>
      <c r="D136" s="37" t="s">
        <v>488</v>
      </c>
      <c r="E136" s="38">
        <v>1095861</v>
      </c>
      <c r="F136" s="38">
        <f t="shared" si="5"/>
        <v>1457680</v>
      </c>
      <c r="G136" s="37" t="s">
        <v>632</v>
      </c>
      <c r="H136" s="39"/>
      <c r="I136" s="35"/>
    </row>
    <row r="137" spans="1:9" ht="9" hidden="1" customHeight="1" x14ac:dyDescent="0.15">
      <c r="A137" s="40" t="s">
        <v>489</v>
      </c>
      <c r="B137" s="41" t="s">
        <v>340</v>
      </c>
      <c r="C137" s="41" t="s">
        <v>468</v>
      </c>
      <c r="D137" s="41" t="s">
        <v>490</v>
      </c>
      <c r="E137" s="46">
        <v>581196</v>
      </c>
      <c r="F137" s="46">
        <f t="shared" si="5"/>
        <v>774060</v>
      </c>
      <c r="G137" s="41" t="s">
        <v>632</v>
      </c>
      <c r="H137" s="47"/>
      <c r="I137" s="35"/>
    </row>
    <row r="138" spans="1:9" ht="9" hidden="1" customHeight="1" x14ac:dyDescent="0.15">
      <c r="A138" s="36" t="s">
        <v>491</v>
      </c>
      <c r="B138" s="37" t="s">
        <v>340</v>
      </c>
      <c r="C138" s="37" t="s">
        <v>468</v>
      </c>
      <c r="D138" s="37" t="s">
        <v>492</v>
      </c>
      <c r="E138" s="38">
        <v>365287</v>
      </c>
      <c r="F138" s="38">
        <f t="shared" si="5"/>
        <v>486780</v>
      </c>
      <c r="G138" s="37" t="s">
        <v>632</v>
      </c>
      <c r="H138" s="39"/>
      <c r="I138" s="35"/>
    </row>
    <row r="139" spans="1:9" ht="9" hidden="1" customHeight="1" x14ac:dyDescent="0.15">
      <c r="A139" s="40" t="s">
        <v>493</v>
      </c>
      <c r="B139" s="41" t="s">
        <v>340</v>
      </c>
      <c r="C139" s="41" t="s">
        <v>468</v>
      </c>
      <c r="D139" s="41" t="s">
        <v>494</v>
      </c>
      <c r="E139" s="46">
        <v>4056913</v>
      </c>
      <c r="F139" s="46">
        <f t="shared" si="5"/>
        <v>5395810</v>
      </c>
      <c r="G139" s="41" t="s">
        <v>632</v>
      </c>
      <c r="H139" s="47"/>
      <c r="I139" s="35"/>
    </row>
    <row r="140" spans="1:9" ht="9" hidden="1" customHeight="1" x14ac:dyDescent="0.15">
      <c r="A140" s="36" t="s">
        <v>495</v>
      </c>
      <c r="B140" s="37" t="s">
        <v>343</v>
      </c>
      <c r="C140" s="37" t="s">
        <v>468</v>
      </c>
      <c r="D140" s="37" t="s">
        <v>496</v>
      </c>
      <c r="E140" s="38">
        <v>1320000</v>
      </c>
      <c r="F140" s="38">
        <f t="shared" si="5"/>
        <v>1755600</v>
      </c>
      <c r="G140" s="37" t="s">
        <v>632</v>
      </c>
      <c r="H140" s="39"/>
      <c r="I140" s="35"/>
    </row>
    <row r="141" spans="1:9" ht="9" hidden="1" customHeight="1" x14ac:dyDescent="0.15">
      <c r="A141" s="40" t="s">
        <v>497</v>
      </c>
      <c r="B141" s="41" t="s">
        <v>343</v>
      </c>
      <c r="C141" s="41" t="s">
        <v>468</v>
      </c>
      <c r="D141" s="41" t="s">
        <v>498</v>
      </c>
      <c r="E141" s="46">
        <v>1634250</v>
      </c>
      <c r="F141" s="46">
        <f t="shared" si="5"/>
        <v>2174550</v>
      </c>
      <c r="G141" s="41" t="s">
        <v>632</v>
      </c>
      <c r="H141" s="47"/>
      <c r="I141" s="35"/>
    </row>
    <row r="142" spans="1:9" ht="9" hidden="1" customHeight="1" x14ac:dyDescent="0.15">
      <c r="A142" s="36" t="s">
        <v>499</v>
      </c>
      <c r="B142" s="37" t="s">
        <v>343</v>
      </c>
      <c r="C142" s="37" t="s">
        <v>468</v>
      </c>
      <c r="D142" s="37" t="s">
        <v>500</v>
      </c>
      <c r="E142" s="38">
        <v>303000</v>
      </c>
      <c r="F142" s="38">
        <f t="shared" si="5"/>
        <v>402990</v>
      </c>
      <c r="G142" s="37" t="s">
        <v>632</v>
      </c>
      <c r="H142" s="39"/>
      <c r="I142" s="35"/>
    </row>
    <row r="143" spans="1:9" ht="9" hidden="1" customHeight="1" x14ac:dyDescent="0.15">
      <c r="A143" s="40" t="s">
        <v>501</v>
      </c>
      <c r="B143" s="41" t="s">
        <v>343</v>
      </c>
      <c r="C143" s="41" t="s">
        <v>468</v>
      </c>
      <c r="D143" s="41" t="s">
        <v>346</v>
      </c>
      <c r="E143" s="46">
        <v>529000</v>
      </c>
      <c r="F143" s="46">
        <f t="shared" si="5"/>
        <v>703570</v>
      </c>
      <c r="G143" s="41" t="s">
        <v>632</v>
      </c>
      <c r="H143" s="47"/>
      <c r="I143" s="35"/>
    </row>
    <row r="144" spans="1:9" ht="9" hidden="1" customHeight="1" x14ac:dyDescent="0.15">
      <c r="A144" s="36" t="s">
        <v>502</v>
      </c>
      <c r="B144" s="37" t="s">
        <v>350</v>
      </c>
      <c r="C144" s="37" t="s">
        <v>468</v>
      </c>
      <c r="D144" s="37" t="s">
        <v>503</v>
      </c>
      <c r="E144" s="38">
        <v>1094800</v>
      </c>
      <c r="F144" s="38">
        <f t="shared" si="5"/>
        <v>1456350</v>
      </c>
      <c r="G144" s="37" t="s">
        <v>632</v>
      </c>
      <c r="H144" s="39"/>
      <c r="I144" s="35"/>
    </row>
    <row r="145" spans="1:9" ht="9" hidden="1" customHeight="1" x14ac:dyDescent="0.15">
      <c r="A145" s="40" t="s">
        <v>504</v>
      </c>
      <c r="B145" s="41" t="s">
        <v>350</v>
      </c>
      <c r="C145" s="41" t="s">
        <v>468</v>
      </c>
      <c r="D145" s="41" t="s">
        <v>505</v>
      </c>
      <c r="E145" s="46">
        <v>1219312</v>
      </c>
      <c r="F145" s="46">
        <f t="shared" si="5"/>
        <v>1622600</v>
      </c>
      <c r="G145" s="41" t="s">
        <v>632</v>
      </c>
      <c r="H145" s="47"/>
      <c r="I145" s="35"/>
    </row>
    <row r="146" spans="1:9" ht="9" hidden="1" customHeight="1" x14ac:dyDescent="0.15">
      <c r="A146" s="36" t="s">
        <v>510</v>
      </c>
      <c r="B146" s="37" t="s">
        <v>357</v>
      </c>
      <c r="C146" s="37" t="s">
        <v>468</v>
      </c>
      <c r="D146" s="37" t="s">
        <v>511</v>
      </c>
      <c r="E146" s="38">
        <v>1019000</v>
      </c>
      <c r="F146" s="38">
        <f t="shared" si="5"/>
        <v>1355270</v>
      </c>
      <c r="G146" s="37" t="s">
        <v>632</v>
      </c>
      <c r="H146" s="39"/>
      <c r="I146" s="35"/>
    </row>
    <row r="147" spans="1:9" ht="9" hidden="1" customHeight="1" x14ac:dyDescent="0.15">
      <c r="A147" s="40" t="s">
        <v>512</v>
      </c>
      <c r="B147" s="41" t="s">
        <v>360</v>
      </c>
      <c r="C147" s="41" t="s">
        <v>468</v>
      </c>
      <c r="D147" s="41" t="s">
        <v>361</v>
      </c>
      <c r="E147" s="46">
        <v>108000</v>
      </c>
      <c r="F147" s="46">
        <f t="shared" si="5"/>
        <v>143640</v>
      </c>
      <c r="G147" s="41" t="s">
        <v>632</v>
      </c>
      <c r="H147" s="47"/>
      <c r="I147" s="35"/>
    </row>
    <row r="148" spans="1:9" ht="9" hidden="1" customHeight="1" x14ac:dyDescent="0.15">
      <c r="A148" s="36" t="s">
        <v>383</v>
      </c>
      <c r="B148" s="37" t="s">
        <v>360</v>
      </c>
      <c r="C148" s="37" t="s">
        <v>312</v>
      </c>
      <c r="D148" s="37" t="s">
        <v>384</v>
      </c>
      <c r="E148" s="38">
        <v>38000</v>
      </c>
      <c r="F148" s="38">
        <f t="shared" si="5"/>
        <v>50540</v>
      </c>
      <c r="G148" s="37" t="s">
        <v>632</v>
      </c>
      <c r="H148" s="39"/>
      <c r="I148" s="35"/>
    </row>
    <row r="149" spans="1:9" ht="13.75" customHeight="1" x14ac:dyDescent="0.15">
      <c r="A149" s="40" t="s">
        <v>453</v>
      </c>
      <c r="B149" s="41" t="s">
        <v>360</v>
      </c>
      <c r="C149" s="41" t="s">
        <v>413</v>
      </c>
      <c r="D149" s="41" t="s">
        <v>454</v>
      </c>
      <c r="E149" s="46">
        <v>37500</v>
      </c>
      <c r="F149" s="46">
        <f t="shared" si="5"/>
        <v>50540</v>
      </c>
      <c r="G149" s="41" t="s">
        <v>632</v>
      </c>
      <c r="H149" s="47"/>
      <c r="I149" s="35"/>
    </row>
    <row r="150" spans="1:9" ht="9" hidden="1" customHeight="1" x14ac:dyDescent="0.15">
      <c r="A150" s="36" t="s">
        <v>523</v>
      </c>
      <c r="B150" s="37" t="s">
        <v>360</v>
      </c>
      <c r="C150" s="37" t="s">
        <v>468</v>
      </c>
      <c r="D150" s="37" t="s">
        <v>386</v>
      </c>
      <c r="E150" s="38">
        <v>100000</v>
      </c>
      <c r="F150" s="38">
        <f t="shared" si="5"/>
        <v>133000</v>
      </c>
      <c r="G150" s="37" t="s">
        <v>632</v>
      </c>
      <c r="H150" s="39"/>
      <c r="I150" s="35"/>
    </row>
    <row r="151" spans="1:9" ht="9" hidden="1" customHeight="1" x14ac:dyDescent="0.15">
      <c r="A151" s="40" t="s">
        <v>524</v>
      </c>
      <c r="B151" s="41" t="s">
        <v>388</v>
      </c>
      <c r="C151" s="41" t="s">
        <v>468</v>
      </c>
      <c r="D151" s="41" t="s">
        <v>391</v>
      </c>
      <c r="E151" s="46">
        <v>596000</v>
      </c>
      <c r="F151" s="46">
        <f t="shared" si="5"/>
        <v>792680</v>
      </c>
      <c r="G151" s="41" t="s">
        <v>632</v>
      </c>
      <c r="H151" s="47"/>
      <c r="I151" s="35"/>
    </row>
    <row r="152" spans="1:9" ht="9" hidden="1" customHeight="1" x14ac:dyDescent="0.15">
      <c r="A152" s="36" t="s">
        <v>525</v>
      </c>
      <c r="B152" s="37" t="s">
        <v>388</v>
      </c>
      <c r="C152" s="37" t="s">
        <v>468</v>
      </c>
      <c r="D152" s="37" t="s">
        <v>526</v>
      </c>
      <c r="E152" s="38">
        <v>1469650</v>
      </c>
      <c r="F152" s="38">
        <f t="shared" si="5"/>
        <v>1955100</v>
      </c>
      <c r="G152" s="37" t="s">
        <v>632</v>
      </c>
      <c r="H152" s="39"/>
      <c r="I152" s="35"/>
    </row>
    <row r="153" spans="1:9" ht="9" hidden="1" customHeight="1" x14ac:dyDescent="0.15">
      <c r="A153" s="40" t="s">
        <v>527</v>
      </c>
      <c r="B153" s="41" t="s">
        <v>393</v>
      </c>
      <c r="C153" s="41" t="s">
        <v>468</v>
      </c>
      <c r="D153" s="41" t="s">
        <v>514</v>
      </c>
      <c r="E153" s="46">
        <v>991000</v>
      </c>
      <c r="F153" s="46">
        <f t="shared" si="5"/>
        <v>1318030</v>
      </c>
      <c r="G153" s="41" t="s">
        <v>632</v>
      </c>
      <c r="H153" s="48" t="s">
        <v>528</v>
      </c>
      <c r="I153" s="35"/>
    </row>
    <row r="154" spans="1:9" ht="9" hidden="1" customHeight="1" x14ac:dyDescent="0.15">
      <c r="A154" s="36" t="s">
        <v>529</v>
      </c>
      <c r="B154" s="37" t="s">
        <v>393</v>
      </c>
      <c r="C154" s="37" t="s">
        <v>468</v>
      </c>
      <c r="D154" s="37" t="s">
        <v>530</v>
      </c>
      <c r="E154" s="38">
        <v>789000</v>
      </c>
      <c r="F154" s="38">
        <f t="shared" si="5"/>
        <v>1049370</v>
      </c>
      <c r="G154" s="37" t="s">
        <v>632</v>
      </c>
      <c r="H154" s="39"/>
      <c r="I154" s="35"/>
    </row>
    <row r="155" spans="1:9" ht="9" hidden="1" customHeight="1" x14ac:dyDescent="0.15">
      <c r="A155" s="40" t="s">
        <v>531</v>
      </c>
      <c r="B155" s="41" t="s">
        <v>393</v>
      </c>
      <c r="C155" s="41" t="s">
        <v>468</v>
      </c>
      <c r="D155" s="41" t="s">
        <v>532</v>
      </c>
      <c r="E155" s="46">
        <v>692000</v>
      </c>
      <c r="F155" s="46">
        <f t="shared" si="5"/>
        <v>920360</v>
      </c>
      <c r="G155" s="41" t="s">
        <v>632</v>
      </c>
      <c r="H155" s="47"/>
      <c r="I155" s="35"/>
    </row>
    <row r="156" spans="1:9" ht="9" hidden="1" customHeight="1" x14ac:dyDescent="0.15">
      <c r="A156" s="36" t="s">
        <v>533</v>
      </c>
      <c r="B156" s="37" t="s">
        <v>401</v>
      </c>
      <c r="C156" s="37" t="s">
        <v>468</v>
      </c>
      <c r="D156" s="37" t="s">
        <v>534</v>
      </c>
      <c r="E156" s="38">
        <v>1250000</v>
      </c>
      <c r="F156" s="38">
        <v>1250000</v>
      </c>
      <c r="G156" s="37" t="s">
        <v>632</v>
      </c>
      <c r="H156" s="39"/>
      <c r="I156" s="35"/>
    </row>
    <row r="157" spans="1:9" ht="9" hidden="1" customHeight="1" x14ac:dyDescent="0.15">
      <c r="A157" s="40" t="s">
        <v>535</v>
      </c>
      <c r="B157" s="41" t="s">
        <v>401</v>
      </c>
      <c r="C157" s="41" t="s">
        <v>468</v>
      </c>
      <c r="D157" s="41" t="s">
        <v>536</v>
      </c>
      <c r="E157" s="46">
        <v>60000</v>
      </c>
      <c r="F157" s="46">
        <v>60000</v>
      </c>
      <c r="G157" s="41" t="s">
        <v>632</v>
      </c>
      <c r="H157" s="47"/>
      <c r="I157" s="35"/>
    </row>
    <row r="158" spans="1:9" ht="9" hidden="1" customHeight="1" x14ac:dyDescent="0.15">
      <c r="A158" s="36" t="s">
        <v>537</v>
      </c>
      <c r="B158" s="37" t="s">
        <v>401</v>
      </c>
      <c r="C158" s="37" t="s">
        <v>468</v>
      </c>
      <c r="D158" s="37" t="s">
        <v>538</v>
      </c>
      <c r="E158" s="38">
        <v>60000</v>
      </c>
      <c r="F158" s="38">
        <v>60000</v>
      </c>
      <c r="G158" s="37" t="s">
        <v>632</v>
      </c>
      <c r="H158" s="39"/>
      <c r="I158" s="35"/>
    </row>
    <row r="159" spans="1:9" ht="9" hidden="1" customHeight="1" x14ac:dyDescent="0.15">
      <c r="A159" s="40" t="s">
        <v>539</v>
      </c>
      <c r="B159" s="41" t="s">
        <v>401</v>
      </c>
      <c r="C159" s="41" t="s">
        <v>468</v>
      </c>
      <c r="D159" s="41" t="s">
        <v>540</v>
      </c>
      <c r="E159" s="46">
        <v>60000</v>
      </c>
      <c r="F159" s="46">
        <v>60000</v>
      </c>
      <c r="G159" s="41" t="s">
        <v>632</v>
      </c>
      <c r="H159" s="47"/>
      <c r="I159" s="35"/>
    </row>
    <row r="160" spans="1:9" ht="9" hidden="1" customHeight="1" x14ac:dyDescent="0.15">
      <c r="A160" s="36" t="s">
        <v>617</v>
      </c>
      <c r="B160" s="37" t="s">
        <v>401</v>
      </c>
      <c r="C160" s="37" t="s">
        <v>543</v>
      </c>
      <c r="D160" s="37" t="s">
        <v>536</v>
      </c>
      <c r="E160" s="38">
        <v>60000</v>
      </c>
      <c r="F160" s="38">
        <v>60000</v>
      </c>
      <c r="G160" s="37" t="s">
        <v>632</v>
      </c>
      <c r="H160" s="39"/>
      <c r="I160" s="35"/>
    </row>
    <row r="161" spans="1:9" ht="9" hidden="1" customHeight="1" x14ac:dyDescent="0.15">
      <c r="A161" s="40" t="s">
        <v>618</v>
      </c>
      <c r="B161" s="41" t="s">
        <v>401</v>
      </c>
      <c r="C161" s="41" t="s">
        <v>543</v>
      </c>
      <c r="D161" s="41" t="s">
        <v>406</v>
      </c>
      <c r="E161" s="46">
        <v>60000</v>
      </c>
      <c r="F161" s="46">
        <v>60000</v>
      </c>
      <c r="G161" s="41" t="s">
        <v>632</v>
      </c>
      <c r="H161" s="47"/>
      <c r="I161" s="35"/>
    </row>
    <row r="162" spans="1:9" ht="9" hidden="1" customHeight="1" x14ac:dyDescent="0.15">
      <c r="A162" s="36" t="s">
        <v>619</v>
      </c>
      <c r="B162" s="37" t="s">
        <v>401</v>
      </c>
      <c r="C162" s="37" t="s">
        <v>543</v>
      </c>
      <c r="D162" s="37" t="s">
        <v>620</v>
      </c>
      <c r="E162" s="38">
        <v>60000</v>
      </c>
      <c r="F162" s="38">
        <v>60000</v>
      </c>
      <c r="G162" s="37" t="s">
        <v>632</v>
      </c>
      <c r="H162" s="39"/>
      <c r="I162" s="35"/>
    </row>
    <row r="163" spans="1:9" ht="9" hidden="1" customHeight="1" x14ac:dyDescent="0.15">
      <c r="A163" s="40" t="s">
        <v>589</v>
      </c>
      <c r="B163" s="41" t="s">
        <v>388</v>
      </c>
      <c r="C163" s="41" t="s">
        <v>543</v>
      </c>
      <c r="D163" s="41" t="s">
        <v>590</v>
      </c>
      <c r="E163" s="46">
        <v>148000</v>
      </c>
      <c r="F163" s="46">
        <f t="shared" ref="F163:F174" si="6">(CEILING(E163:E163,1000))*1.33</f>
        <v>196840</v>
      </c>
      <c r="G163" s="41" t="s">
        <v>632</v>
      </c>
      <c r="H163" s="47"/>
      <c r="I163" s="35"/>
    </row>
    <row r="164" spans="1:9" ht="9" hidden="1" customHeight="1" x14ac:dyDescent="0.15">
      <c r="A164" s="36" t="s">
        <v>612</v>
      </c>
      <c r="B164" s="37" t="s">
        <v>393</v>
      </c>
      <c r="C164" s="37" t="s">
        <v>543</v>
      </c>
      <c r="D164" s="37" t="s">
        <v>613</v>
      </c>
      <c r="E164" s="38">
        <v>166600</v>
      </c>
      <c r="F164" s="38">
        <f t="shared" si="6"/>
        <v>222110</v>
      </c>
      <c r="G164" s="37" t="s">
        <v>632</v>
      </c>
      <c r="H164" s="39"/>
      <c r="I164" s="35"/>
    </row>
    <row r="165" spans="1:9" ht="9" hidden="1" customHeight="1" x14ac:dyDescent="0.15">
      <c r="A165" s="40" t="s">
        <v>602</v>
      </c>
      <c r="B165" s="41" t="s">
        <v>393</v>
      </c>
      <c r="C165" s="41" t="s">
        <v>543</v>
      </c>
      <c r="D165" s="41" t="s">
        <v>603</v>
      </c>
      <c r="E165" s="46">
        <v>308448</v>
      </c>
      <c r="F165" s="46">
        <f t="shared" si="6"/>
        <v>410970</v>
      </c>
      <c r="G165" s="41" t="s">
        <v>632</v>
      </c>
      <c r="H165" s="47"/>
      <c r="I165" s="35"/>
    </row>
    <row r="166" spans="1:9" ht="9" hidden="1" customHeight="1" x14ac:dyDescent="0.15">
      <c r="A166" s="36" t="s">
        <v>598</v>
      </c>
      <c r="B166" s="37" t="s">
        <v>393</v>
      </c>
      <c r="C166" s="37" t="s">
        <v>543</v>
      </c>
      <c r="D166" s="37" t="s">
        <v>599</v>
      </c>
      <c r="E166" s="38">
        <v>324870</v>
      </c>
      <c r="F166" s="38">
        <f t="shared" si="6"/>
        <v>432250</v>
      </c>
      <c r="G166" s="37" t="s">
        <v>632</v>
      </c>
      <c r="H166" s="39"/>
      <c r="I166" s="35"/>
    </row>
    <row r="167" spans="1:9" ht="9" hidden="1" customHeight="1" x14ac:dyDescent="0.15">
      <c r="A167" s="40" t="s">
        <v>591</v>
      </c>
      <c r="B167" s="41" t="s">
        <v>393</v>
      </c>
      <c r="C167" s="41" t="s">
        <v>543</v>
      </c>
      <c r="D167" s="41" t="s">
        <v>592</v>
      </c>
      <c r="E167" s="46">
        <v>343000</v>
      </c>
      <c r="F167" s="46">
        <f t="shared" si="6"/>
        <v>456190</v>
      </c>
      <c r="G167" s="41" t="s">
        <v>632</v>
      </c>
      <c r="H167" s="47"/>
      <c r="I167" s="35"/>
    </row>
    <row r="168" spans="1:9" ht="9" hidden="1" customHeight="1" x14ac:dyDescent="0.15">
      <c r="A168" s="36" t="s">
        <v>593</v>
      </c>
      <c r="B168" s="37" t="s">
        <v>393</v>
      </c>
      <c r="C168" s="37" t="s">
        <v>543</v>
      </c>
      <c r="D168" s="37" t="s">
        <v>532</v>
      </c>
      <c r="E168" s="38">
        <v>396000</v>
      </c>
      <c r="F168" s="38">
        <f t="shared" si="6"/>
        <v>526680</v>
      </c>
      <c r="G168" s="37" t="s">
        <v>632</v>
      </c>
      <c r="H168" s="39"/>
      <c r="I168" s="35"/>
    </row>
    <row r="169" spans="1:9" ht="9" hidden="1" customHeight="1" x14ac:dyDescent="0.15">
      <c r="A169" s="40" t="s">
        <v>568</v>
      </c>
      <c r="B169" s="41" t="s">
        <v>350</v>
      </c>
      <c r="C169" s="41" t="s">
        <v>543</v>
      </c>
      <c r="D169" s="41" t="s">
        <v>569</v>
      </c>
      <c r="E169" s="46">
        <v>986272</v>
      </c>
      <c r="F169" s="46">
        <f t="shared" si="6"/>
        <v>1312710</v>
      </c>
      <c r="G169" s="41" t="s">
        <v>632</v>
      </c>
      <c r="H169" s="47"/>
      <c r="I169" s="35"/>
    </row>
    <row r="170" spans="1:9" ht="9" hidden="1" customHeight="1" x14ac:dyDescent="0.15">
      <c r="A170" s="36" t="s">
        <v>614</v>
      </c>
      <c r="B170" s="37" t="s">
        <v>393</v>
      </c>
      <c r="C170" s="37" t="s">
        <v>543</v>
      </c>
      <c r="D170" s="37" t="s">
        <v>615</v>
      </c>
      <c r="E170" s="38">
        <v>1071000</v>
      </c>
      <c r="F170" s="38">
        <f t="shared" si="6"/>
        <v>1424430</v>
      </c>
      <c r="G170" s="37" t="s">
        <v>632</v>
      </c>
      <c r="H170" s="39"/>
      <c r="I170" s="35"/>
    </row>
    <row r="171" spans="1:9" ht="9" hidden="1" customHeight="1" x14ac:dyDescent="0.15">
      <c r="A171" s="40" t="s">
        <v>566</v>
      </c>
      <c r="B171" s="41" t="s">
        <v>343</v>
      </c>
      <c r="C171" s="41" t="s">
        <v>543</v>
      </c>
      <c r="D171" s="41" t="s">
        <v>496</v>
      </c>
      <c r="E171" s="46">
        <v>1167000</v>
      </c>
      <c r="F171" s="46">
        <f t="shared" si="6"/>
        <v>1552110</v>
      </c>
      <c r="G171" s="41" t="s">
        <v>632</v>
      </c>
      <c r="H171" s="47"/>
      <c r="I171" s="35"/>
    </row>
    <row r="172" spans="1:9" ht="9" hidden="1" customHeight="1" x14ac:dyDescent="0.15">
      <c r="A172" s="36" t="s">
        <v>570</v>
      </c>
      <c r="B172" s="37" t="s">
        <v>357</v>
      </c>
      <c r="C172" s="37" t="s">
        <v>543</v>
      </c>
      <c r="D172" s="37" t="s">
        <v>571</v>
      </c>
      <c r="E172" s="38">
        <v>1270920</v>
      </c>
      <c r="F172" s="38">
        <f t="shared" si="6"/>
        <v>1690430</v>
      </c>
      <c r="G172" s="37" t="s">
        <v>632</v>
      </c>
      <c r="H172" s="39"/>
      <c r="I172" s="35"/>
    </row>
    <row r="173" spans="1:9" ht="9" hidden="1" customHeight="1" x14ac:dyDescent="0.15">
      <c r="A173" s="40" t="s">
        <v>567</v>
      </c>
      <c r="B173" s="41" t="s">
        <v>343</v>
      </c>
      <c r="C173" s="41" t="s">
        <v>543</v>
      </c>
      <c r="D173" s="41" t="s">
        <v>498</v>
      </c>
      <c r="E173" s="46">
        <v>1277000</v>
      </c>
      <c r="F173" s="46">
        <f t="shared" si="6"/>
        <v>1698410</v>
      </c>
      <c r="G173" s="41" t="s">
        <v>632</v>
      </c>
      <c r="H173" s="47"/>
      <c r="I173" s="35"/>
    </row>
    <row r="174" spans="1:9" ht="9" hidden="1" customHeight="1" x14ac:dyDescent="0.15">
      <c r="A174" s="36" t="s">
        <v>587</v>
      </c>
      <c r="B174" s="37" t="s">
        <v>388</v>
      </c>
      <c r="C174" s="37" t="s">
        <v>543</v>
      </c>
      <c r="D174" s="37" t="s">
        <v>588</v>
      </c>
      <c r="E174" s="38">
        <v>1339000</v>
      </c>
      <c r="F174" s="38">
        <f t="shared" si="6"/>
        <v>1780870</v>
      </c>
      <c r="G174" s="37" t="s">
        <v>632</v>
      </c>
      <c r="H174" s="39"/>
      <c r="I174" s="35"/>
    </row>
    <row r="175" spans="1:9" ht="9" hidden="1" customHeight="1" x14ac:dyDescent="0.15">
      <c r="A175" s="40" t="s">
        <v>616</v>
      </c>
      <c r="B175" s="41" t="s">
        <v>401</v>
      </c>
      <c r="C175" s="41" t="s">
        <v>543</v>
      </c>
      <c r="D175" s="41" t="s">
        <v>534</v>
      </c>
      <c r="E175" s="46">
        <v>2166000</v>
      </c>
      <c r="F175" s="46">
        <v>2166000</v>
      </c>
      <c r="G175" s="41" t="s">
        <v>632</v>
      </c>
      <c r="H175" s="47"/>
      <c r="I175" s="35"/>
    </row>
    <row r="176" spans="1:9" ht="9" hidden="1" customHeight="1" x14ac:dyDescent="0.15">
      <c r="A176" s="36" t="s">
        <v>610</v>
      </c>
      <c r="B176" s="37" t="s">
        <v>393</v>
      </c>
      <c r="C176" s="37" t="s">
        <v>543</v>
      </c>
      <c r="D176" s="37" t="s">
        <v>611</v>
      </c>
      <c r="E176" s="38">
        <v>2695350</v>
      </c>
      <c r="F176" s="38">
        <f t="shared" ref="F176:F183" si="7">(CEILING(E176:E176,1000))*1.33</f>
        <v>3585680</v>
      </c>
      <c r="G176" s="37" t="s">
        <v>632</v>
      </c>
      <c r="H176" s="39"/>
      <c r="I176" s="35"/>
    </row>
    <row r="177" spans="1:9" ht="9" hidden="1" customHeight="1" x14ac:dyDescent="0.15">
      <c r="A177" s="40" t="s">
        <v>558</v>
      </c>
      <c r="B177" s="41" t="s">
        <v>340</v>
      </c>
      <c r="C177" s="41" t="s">
        <v>543</v>
      </c>
      <c r="D177" s="41" t="s">
        <v>559</v>
      </c>
      <c r="E177" s="46">
        <v>2681945</v>
      </c>
      <c r="F177" s="46">
        <f t="shared" si="7"/>
        <v>3567060</v>
      </c>
      <c r="G177" s="41" t="s">
        <v>630</v>
      </c>
      <c r="H177" s="47"/>
      <c r="I177" s="35"/>
    </row>
    <row r="178" spans="1:9" ht="9" hidden="1" customHeight="1" x14ac:dyDescent="0.15">
      <c r="A178" s="36" t="s">
        <v>562</v>
      </c>
      <c r="B178" s="37" t="s">
        <v>340</v>
      </c>
      <c r="C178" s="37" t="s">
        <v>543</v>
      </c>
      <c r="D178" s="37" t="s">
        <v>563</v>
      </c>
      <c r="E178" s="38">
        <v>3177998</v>
      </c>
      <c r="F178" s="38">
        <f t="shared" si="7"/>
        <v>4226740</v>
      </c>
      <c r="G178" s="37" t="s">
        <v>630</v>
      </c>
      <c r="H178" s="39"/>
      <c r="I178" s="35"/>
    </row>
    <row r="179" spans="1:9" ht="9" hidden="1" customHeight="1" x14ac:dyDescent="0.15">
      <c r="A179" s="40" t="s">
        <v>560</v>
      </c>
      <c r="B179" s="41" t="s">
        <v>340</v>
      </c>
      <c r="C179" s="41" t="s">
        <v>543</v>
      </c>
      <c r="D179" s="41" t="s">
        <v>561</v>
      </c>
      <c r="E179" s="46">
        <v>4654702</v>
      </c>
      <c r="F179" s="46">
        <f t="shared" si="7"/>
        <v>6191150</v>
      </c>
      <c r="G179" s="41" t="s">
        <v>630</v>
      </c>
      <c r="H179" s="47"/>
      <c r="I179" s="35"/>
    </row>
    <row r="180" spans="1:9" ht="9" hidden="1" customHeight="1" x14ac:dyDescent="0.15">
      <c r="A180" s="36" t="s">
        <v>564</v>
      </c>
      <c r="B180" s="37" t="s">
        <v>340</v>
      </c>
      <c r="C180" s="37" t="s">
        <v>543</v>
      </c>
      <c r="D180" s="37" t="s">
        <v>565</v>
      </c>
      <c r="E180" s="38">
        <v>10501050</v>
      </c>
      <c r="F180" s="38">
        <f t="shared" si="7"/>
        <v>13967660</v>
      </c>
      <c r="G180" s="37" t="s">
        <v>630</v>
      </c>
      <c r="H180" s="39"/>
      <c r="I180" s="35"/>
    </row>
    <row r="181" spans="1:9" ht="9" hidden="1" customHeight="1" x14ac:dyDescent="0.15">
      <c r="A181" s="40" t="s">
        <v>556</v>
      </c>
      <c r="B181" s="41" t="s">
        <v>340</v>
      </c>
      <c r="C181" s="41" t="s">
        <v>543</v>
      </c>
      <c r="D181" s="41" t="s">
        <v>557</v>
      </c>
      <c r="E181" s="46">
        <v>10576063</v>
      </c>
      <c r="F181" s="46">
        <f t="shared" si="7"/>
        <v>14067410</v>
      </c>
      <c r="G181" s="41" t="s">
        <v>630</v>
      </c>
      <c r="H181" s="47"/>
      <c r="I181" s="35"/>
    </row>
    <row r="182" spans="1:9" ht="9" hidden="1" customHeight="1" x14ac:dyDescent="0.15">
      <c r="A182" s="36" t="s">
        <v>575</v>
      </c>
      <c r="B182" s="37" t="s">
        <v>573</v>
      </c>
      <c r="C182" s="37" t="s">
        <v>543</v>
      </c>
      <c r="D182" s="37" t="s">
        <v>576</v>
      </c>
      <c r="E182" s="38">
        <v>14265323</v>
      </c>
      <c r="F182" s="38">
        <f t="shared" si="7"/>
        <v>18973780</v>
      </c>
      <c r="G182" s="37" t="s">
        <v>630</v>
      </c>
      <c r="H182" s="39"/>
      <c r="I182" s="35"/>
    </row>
    <row r="183" spans="1:9" ht="9" hidden="1" customHeight="1" x14ac:dyDescent="0.15">
      <c r="A183" s="40" t="s">
        <v>572</v>
      </c>
      <c r="B183" s="41" t="s">
        <v>573</v>
      </c>
      <c r="C183" s="41" t="s">
        <v>543</v>
      </c>
      <c r="D183" s="41" t="s">
        <v>574</v>
      </c>
      <c r="E183" s="46">
        <v>37669611</v>
      </c>
      <c r="F183" s="46">
        <f t="shared" si="7"/>
        <v>50101100</v>
      </c>
      <c r="G183" s="41" t="s">
        <v>630</v>
      </c>
      <c r="H183" s="47"/>
      <c r="I183" s="35"/>
    </row>
    <row r="184" spans="1:9" ht="13.75" customHeight="1" x14ac:dyDescent="0.15">
      <c r="A184" s="50"/>
      <c r="B184" s="50"/>
      <c r="C184" s="50"/>
      <c r="D184" s="50"/>
      <c r="E184" s="51"/>
      <c r="F184" s="51"/>
      <c r="G184" s="51"/>
      <c r="H184" s="50"/>
      <c r="I184" s="31"/>
    </row>
  </sheetData>
  <dataValidations count="3">
    <dataValidation type="list" allowBlank="1" showInputMessage="1" showErrorMessage="1" sqref="B2:B183" xr:uid="{00000000-0002-0000-0300-000000000000}">
      <formula1>"Modernization / Reconfigure Existing Classrooms,Site Utilities,New Construction (Classrooms),Multipurpose Room (MPR) &amp; Food Service,Library,Student Support &amp; Counseling,Administration &amp; Staff Support,Physical Education Improvements,Safety and Security"</formula1>
    </dataValidation>
    <dataValidation type="list" allowBlank="1" showInputMessage="1" showErrorMessage="1" sqref="C2:C183" xr:uid="{00000000-0002-0000-0300-000001000000}">
      <formula1>"Carver,Valentine,Huntington,SMHS,Del Mar Field,District Office,Maintenance Yard,Hill-Harbison Property"</formula1>
    </dataValidation>
    <dataValidation type="list" allowBlank="1" showInputMessage="1" showErrorMessage="1" sqref="G2:G183" xr:uid="{00000000-0002-0000-0300-000002000000}">
      <formula1>"Low,Medium,High"</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showGridLines="0" workbookViewId="0"/>
  </sheetViews>
  <sheetFormatPr baseColWidth="10" defaultColWidth="16" defaultRowHeight="15.5" customHeight="1" x14ac:dyDescent="0.15"/>
  <cols>
    <col min="1" max="7" width="16" style="5" customWidth="1"/>
    <col min="8" max="16384" width="16" style="5"/>
  </cols>
  <sheetData>
    <row r="1" spans="1:6" ht="12.25" customHeight="1" x14ac:dyDescent="0.15">
      <c r="A1" s="408" t="s">
        <v>634</v>
      </c>
      <c r="B1" s="408"/>
      <c r="C1" s="408"/>
      <c r="D1" s="408"/>
      <c r="E1" s="408"/>
      <c r="F1" s="408"/>
    </row>
    <row r="2" spans="1:6" ht="15.5" customHeight="1" x14ac:dyDescent="0.15">
      <c r="A2" t="s">
        <v>623</v>
      </c>
      <c r="B2" t="s">
        <v>636</v>
      </c>
    </row>
    <row r="4" spans="1:6" ht="15.75" customHeight="1" x14ac:dyDescent="0.15">
      <c r="A4" s="52" t="s">
        <v>305</v>
      </c>
      <c r="B4" s="53" t="s">
        <v>305</v>
      </c>
    </row>
    <row r="5" spans="1:6" ht="16" customHeight="1" x14ac:dyDescent="0.15">
      <c r="A5" s="58" t="s">
        <v>304</v>
      </c>
      <c r="B5" s="54" t="s">
        <v>312</v>
      </c>
      <c r="C5" s="55" t="s">
        <v>468</v>
      </c>
      <c r="D5" s="55" t="s">
        <v>543</v>
      </c>
      <c r="E5" s="56" t="s">
        <v>413</v>
      </c>
      <c r="F5" s="57" t="s">
        <v>637</v>
      </c>
    </row>
    <row r="6" spans="1:6" ht="15.25" customHeight="1" x14ac:dyDescent="0.15">
      <c r="A6" s="59" t="s">
        <v>393</v>
      </c>
      <c r="B6" s="60">
        <v>6716500</v>
      </c>
      <c r="C6" s="61">
        <v>0</v>
      </c>
      <c r="D6" s="62">
        <v>14913290</v>
      </c>
      <c r="E6" s="63">
        <v>3258500</v>
      </c>
      <c r="F6" s="64">
        <v>24888290</v>
      </c>
    </row>
    <row r="7" spans="1:6" ht="15" customHeight="1" x14ac:dyDescent="0.15">
      <c r="A7" s="65" t="s">
        <v>350</v>
      </c>
      <c r="B7" s="66">
        <v>0</v>
      </c>
      <c r="C7" s="67">
        <v>0</v>
      </c>
      <c r="D7" s="67">
        <v>0</v>
      </c>
      <c r="E7" s="68">
        <v>1772890</v>
      </c>
      <c r="F7" s="69">
        <v>1772890</v>
      </c>
    </row>
    <row r="8" spans="1:6" ht="15" customHeight="1" x14ac:dyDescent="0.15">
      <c r="A8" s="65" t="s">
        <v>311</v>
      </c>
      <c r="B8" s="70">
        <v>7434622</v>
      </c>
      <c r="C8" s="71">
        <v>10098208</v>
      </c>
      <c r="D8" s="71">
        <v>9441800</v>
      </c>
      <c r="E8" s="68">
        <v>7678734</v>
      </c>
      <c r="F8" s="69">
        <v>34653364</v>
      </c>
    </row>
    <row r="9" spans="1:6" ht="15" customHeight="1" x14ac:dyDescent="0.15">
      <c r="A9" s="65" t="s">
        <v>343</v>
      </c>
      <c r="B9" s="66">
        <v>0</v>
      </c>
      <c r="C9" s="67">
        <v>0</v>
      </c>
      <c r="D9" s="67">
        <v>0</v>
      </c>
      <c r="E9" s="68">
        <v>11218550</v>
      </c>
      <c r="F9" s="69">
        <v>11218550</v>
      </c>
    </row>
    <row r="10" spans="1:6" ht="15" customHeight="1" x14ac:dyDescent="0.15">
      <c r="A10" s="65" t="s">
        <v>333</v>
      </c>
      <c r="B10" s="70">
        <v>10852800</v>
      </c>
      <c r="C10" s="67">
        <v>0</v>
      </c>
      <c r="E10" s="68">
        <v>29373050</v>
      </c>
      <c r="F10" s="69">
        <v>40225850</v>
      </c>
    </row>
    <row r="11" spans="1:6" ht="15" customHeight="1" x14ac:dyDescent="0.15">
      <c r="A11" s="65" t="s">
        <v>360</v>
      </c>
      <c r="B11" s="70">
        <v>1715700</v>
      </c>
      <c r="C11" s="71">
        <v>3835720</v>
      </c>
      <c r="D11" s="71">
        <v>4733470</v>
      </c>
      <c r="E11" s="68">
        <v>2206470</v>
      </c>
      <c r="F11" s="69">
        <v>12491360</v>
      </c>
    </row>
    <row r="12" spans="1:6" ht="15" customHeight="1" x14ac:dyDescent="0.15">
      <c r="A12" s="65" t="s">
        <v>330</v>
      </c>
      <c r="B12" s="70">
        <v>828590</v>
      </c>
      <c r="C12" s="71">
        <v>2932650</v>
      </c>
      <c r="D12" s="71">
        <v>3023090</v>
      </c>
      <c r="E12" s="68">
        <v>1472310</v>
      </c>
      <c r="F12" s="69">
        <v>8256640</v>
      </c>
    </row>
    <row r="13" spans="1:6" ht="15" customHeight="1" x14ac:dyDescent="0.15">
      <c r="A13" s="65" t="s">
        <v>352</v>
      </c>
      <c r="B13" s="70">
        <v>1437730</v>
      </c>
      <c r="C13" s="71">
        <v>618450</v>
      </c>
      <c r="F13" s="69">
        <v>2056180</v>
      </c>
    </row>
    <row r="14" spans="1:6" ht="15.25" customHeight="1" x14ac:dyDescent="0.15">
      <c r="A14" s="72" t="s">
        <v>410</v>
      </c>
      <c r="B14" s="73">
        <v>729000</v>
      </c>
      <c r="C14" s="74">
        <v>667000</v>
      </c>
      <c r="D14" s="74">
        <v>1125000</v>
      </c>
      <c r="E14" s="75">
        <v>479000</v>
      </c>
      <c r="F14" s="76">
        <v>3000000</v>
      </c>
    </row>
    <row r="15" spans="1:6" ht="15.25" customHeight="1" x14ac:dyDescent="0.15">
      <c r="A15" s="77" t="s">
        <v>637</v>
      </c>
      <c r="B15" s="78">
        <v>29714942</v>
      </c>
      <c r="C15" s="79">
        <v>18152028</v>
      </c>
      <c r="D15" s="79">
        <v>33236650</v>
      </c>
      <c r="E15" s="80">
        <v>57459504</v>
      </c>
      <c r="F15" s="81">
        <v>138563124</v>
      </c>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7"/>
  <sheetViews>
    <sheetView showGridLines="0" topLeftCell="I2" workbookViewId="0"/>
  </sheetViews>
  <sheetFormatPr baseColWidth="10" defaultColWidth="8.59765625" defaultRowHeight="13" customHeight="1" x14ac:dyDescent="0.15"/>
  <cols>
    <col min="1" max="8" width="8.59765625" style="5" hidden="1" customWidth="1"/>
    <col min="9" max="9" width="29.3984375" style="5" customWidth="1"/>
    <col min="10" max="10" width="16.3984375" style="5" customWidth="1"/>
    <col min="11" max="11" width="27.3984375" style="5" customWidth="1"/>
    <col min="12" max="12" width="21.3984375" style="5" customWidth="1"/>
    <col min="13" max="13" width="8.59765625" style="5" customWidth="1"/>
    <col min="14" max="16384" width="8.59765625" style="5"/>
  </cols>
  <sheetData>
    <row r="1" spans="1:12" ht="8.25" hidden="1" customHeight="1" x14ac:dyDescent="0.15">
      <c r="A1" s="31"/>
      <c r="B1" s="31"/>
      <c r="C1" s="31"/>
      <c r="D1" s="31"/>
      <c r="E1" s="31"/>
      <c r="F1" s="31"/>
      <c r="G1" s="31"/>
      <c r="H1" s="31"/>
      <c r="I1" s="82"/>
      <c r="J1" s="31"/>
      <c r="K1" s="31"/>
      <c r="L1" s="31"/>
    </row>
    <row r="2" spans="1:12" ht="16" customHeight="1" x14ac:dyDescent="0.15">
      <c r="A2" s="83"/>
      <c r="B2" s="84"/>
      <c r="C2" s="84"/>
      <c r="D2" s="83"/>
      <c r="E2" s="83"/>
      <c r="F2" s="83"/>
      <c r="G2" s="83"/>
      <c r="H2" s="83"/>
      <c r="I2" s="85" t="s">
        <v>639</v>
      </c>
      <c r="J2" s="86"/>
      <c r="K2" s="31"/>
      <c r="L2" s="31"/>
    </row>
    <row r="3" spans="1:12" ht="8" customHeight="1" x14ac:dyDescent="0.15">
      <c r="A3" s="31"/>
      <c r="B3" s="87"/>
      <c r="C3" s="87"/>
      <c r="D3" s="31"/>
      <c r="E3" s="31"/>
      <c r="F3" s="31"/>
      <c r="G3" s="31"/>
      <c r="H3" s="31"/>
      <c r="I3" s="88"/>
      <c r="J3" s="31"/>
      <c r="K3" s="31"/>
      <c r="L3" s="31"/>
    </row>
    <row r="4" spans="1:12" ht="13.5" customHeight="1" x14ac:dyDescent="0.15">
      <c r="A4" s="31"/>
      <c r="B4" s="31"/>
      <c r="C4" s="31"/>
      <c r="D4" s="31"/>
      <c r="E4" s="31"/>
      <c r="F4" s="31"/>
      <c r="G4" s="31"/>
      <c r="H4" s="31"/>
      <c r="I4" s="31"/>
      <c r="J4" s="31"/>
      <c r="K4" s="31"/>
      <c r="L4" s="31"/>
    </row>
    <row r="5" spans="1:12" ht="13.5" customHeight="1" x14ac:dyDescent="0.15">
      <c r="A5" s="31"/>
      <c r="B5" s="31"/>
      <c r="C5" s="31"/>
      <c r="D5" s="31"/>
      <c r="E5" s="31"/>
      <c r="F5" s="31"/>
      <c r="G5" s="31"/>
      <c r="H5" s="31"/>
      <c r="I5" s="31"/>
      <c r="J5" s="31"/>
      <c r="K5" s="31"/>
      <c r="L5" s="31"/>
    </row>
    <row r="6" spans="1:12" ht="13.5" customHeight="1" x14ac:dyDescent="0.15">
      <c r="A6" s="31"/>
      <c r="B6" s="31"/>
      <c r="C6" s="31"/>
      <c r="D6" s="31"/>
      <c r="E6" s="31"/>
      <c r="F6" s="31"/>
      <c r="G6" s="31"/>
      <c r="H6" s="31"/>
      <c r="I6" s="31"/>
      <c r="J6" s="31"/>
      <c r="K6" s="31"/>
      <c r="L6" s="31"/>
    </row>
    <row r="7" spans="1:12" ht="13.5" customHeight="1" x14ac:dyDescent="0.15">
      <c r="A7" s="31"/>
      <c r="B7" s="31"/>
      <c r="C7" s="31"/>
      <c r="D7" s="31"/>
      <c r="E7" s="31"/>
      <c r="F7" s="31"/>
      <c r="G7" s="31"/>
      <c r="H7" s="31"/>
      <c r="I7" s="31"/>
      <c r="J7" s="31"/>
      <c r="K7" s="31"/>
      <c r="L7" s="31"/>
    </row>
    <row r="8" spans="1:12" ht="13.5" customHeight="1" x14ac:dyDescent="0.15">
      <c r="A8" s="31"/>
      <c r="B8" s="31"/>
      <c r="C8" s="31"/>
      <c r="D8" s="31"/>
      <c r="E8" s="31"/>
      <c r="F8" s="31"/>
      <c r="G8" s="31"/>
      <c r="H8" s="31"/>
      <c r="I8" s="31"/>
      <c r="J8" s="31"/>
      <c r="K8" s="31"/>
      <c r="L8" s="31"/>
    </row>
    <row r="9" spans="1:12" ht="13.5" customHeight="1" x14ac:dyDescent="0.15">
      <c r="A9" s="31"/>
      <c r="B9" s="31"/>
      <c r="C9" s="31"/>
      <c r="D9" s="31"/>
      <c r="E9" s="31"/>
      <c r="F9" s="31"/>
      <c r="G9" s="31"/>
      <c r="H9" s="31"/>
      <c r="I9" s="31"/>
      <c r="J9" s="31"/>
      <c r="K9" s="31"/>
      <c r="L9" s="31"/>
    </row>
    <row r="10" spans="1:12" ht="13.5" customHeight="1" x14ac:dyDescent="0.15">
      <c r="A10" s="31"/>
      <c r="B10" s="31"/>
      <c r="C10" s="31"/>
      <c r="D10" s="31"/>
      <c r="E10" s="31"/>
      <c r="F10" s="31"/>
      <c r="G10" s="31"/>
      <c r="H10" s="31"/>
      <c r="I10" s="31"/>
      <c r="J10" s="31"/>
      <c r="K10" s="31"/>
      <c r="L10" s="31"/>
    </row>
    <row r="11" spans="1:12" ht="13.5" customHeight="1" x14ac:dyDescent="0.15">
      <c r="A11" s="31"/>
      <c r="B11" s="31"/>
      <c r="C11" s="31"/>
      <c r="D11" s="31"/>
      <c r="E11" s="31"/>
      <c r="F11" s="31"/>
      <c r="G11" s="31"/>
      <c r="H11" s="31"/>
      <c r="I11" s="31"/>
      <c r="J11" s="31"/>
      <c r="K11" s="31"/>
      <c r="L11" s="31"/>
    </row>
    <row r="12" spans="1:12" ht="13.5" customHeight="1" x14ac:dyDescent="0.15">
      <c r="A12" s="31"/>
      <c r="B12" s="31"/>
      <c r="C12" s="31"/>
      <c r="D12" s="31"/>
      <c r="E12" s="31"/>
      <c r="F12" s="31"/>
      <c r="G12" s="31"/>
      <c r="H12" s="31"/>
      <c r="I12" s="31"/>
      <c r="J12" s="31"/>
      <c r="K12" s="31"/>
      <c r="L12" s="31"/>
    </row>
    <row r="13" spans="1:12" ht="13.5" customHeight="1" x14ac:dyDescent="0.15">
      <c r="A13" s="31"/>
      <c r="B13" s="31"/>
      <c r="C13" s="31"/>
      <c r="D13" s="31"/>
      <c r="E13" s="31"/>
      <c r="F13" s="31"/>
      <c r="G13" s="31"/>
      <c r="H13" s="31"/>
      <c r="I13" s="31"/>
      <c r="J13" s="31"/>
      <c r="K13" s="31"/>
      <c r="L13" s="31"/>
    </row>
    <row r="14" spans="1:12" ht="13.5" customHeight="1" x14ac:dyDescent="0.15">
      <c r="A14" s="31"/>
      <c r="B14" s="31"/>
      <c r="C14" s="31"/>
      <c r="D14" s="31"/>
      <c r="E14" s="31"/>
      <c r="F14" s="31"/>
      <c r="G14" s="31"/>
      <c r="H14" s="31"/>
      <c r="I14" s="31"/>
      <c r="J14" s="31"/>
      <c r="K14" s="31"/>
      <c r="L14" s="31"/>
    </row>
    <row r="15" spans="1:12" ht="13.5" customHeight="1" x14ac:dyDescent="0.15">
      <c r="A15" s="31"/>
      <c r="B15" s="31"/>
      <c r="C15" s="31"/>
      <c r="D15" s="31"/>
      <c r="E15" s="31"/>
      <c r="F15" s="31"/>
      <c r="G15" s="31"/>
      <c r="H15" s="31"/>
      <c r="I15" s="31"/>
      <c r="J15" s="31"/>
      <c r="K15" s="31"/>
      <c r="L15" s="31"/>
    </row>
    <row r="16" spans="1:12" ht="13.5" customHeight="1" x14ac:dyDescent="0.15">
      <c r="A16" s="31"/>
      <c r="B16" s="31"/>
      <c r="C16" s="31"/>
      <c r="D16" s="31"/>
      <c r="E16" s="31"/>
      <c r="F16" s="31"/>
      <c r="G16" s="31"/>
      <c r="H16" s="31"/>
      <c r="I16" s="31"/>
      <c r="J16" s="31"/>
      <c r="K16" s="31"/>
      <c r="L16" s="31"/>
    </row>
    <row r="17" spans="1:12" ht="13.5" customHeight="1" x14ac:dyDescent="0.15">
      <c r="A17" s="31"/>
      <c r="B17" s="31"/>
      <c r="C17" s="31"/>
      <c r="D17" s="31"/>
      <c r="E17" s="31"/>
      <c r="F17" s="31"/>
      <c r="G17" s="31"/>
      <c r="H17" s="31"/>
      <c r="I17" s="31"/>
      <c r="J17" s="31"/>
      <c r="K17" s="31"/>
      <c r="L17" s="31"/>
    </row>
    <row r="18" spans="1:12" ht="13.5" customHeight="1" x14ac:dyDescent="0.15">
      <c r="A18" s="31"/>
      <c r="B18" s="31"/>
      <c r="C18" s="31"/>
      <c r="D18" s="31"/>
      <c r="E18" s="31"/>
      <c r="F18" s="31"/>
      <c r="G18" s="31"/>
      <c r="H18" s="31"/>
      <c r="I18" s="31"/>
      <c r="J18" s="31"/>
      <c r="K18" s="31"/>
      <c r="L18" s="31"/>
    </row>
    <row r="19" spans="1:12" ht="13.5" customHeight="1" x14ac:dyDescent="0.15">
      <c r="A19" s="31"/>
      <c r="B19" s="31"/>
      <c r="C19" s="31"/>
      <c r="D19" s="31"/>
      <c r="E19" s="31"/>
      <c r="F19" s="31"/>
      <c r="G19" s="31"/>
      <c r="H19" s="31"/>
      <c r="I19" s="31"/>
      <c r="J19" s="31"/>
      <c r="K19" s="31"/>
      <c r="L19" s="31"/>
    </row>
    <row r="20" spans="1:12" ht="13.5" customHeight="1" x14ac:dyDescent="0.15">
      <c r="A20" s="31"/>
      <c r="B20" s="31"/>
      <c r="C20" s="31"/>
      <c r="D20" s="31"/>
      <c r="E20" s="31"/>
      <c r="F20" s="31"/>
      <c r="G20" s="31"/>
      <c r="H20" s="31"/>
      <c r="I20" s="31"/>
      <c r="J20" s="31"/>
      <c r="K20" s="31"/>
      <c r="L20" s="31"/>
    </row>
    <row r="21" spans="1:12" ht="13.5" customHeight="1" x14ac:dyDescent="0.15">
      <c r="A21" s="31"/>
      <c r="B21" s="31"/>
      <c r="C21" s="31"/>
      <c r="D21" s="31"/>
      <c r="E21" s="31"/>
      <c r="F21" s="31"/>
      <c r="G21" s="31"/>
      <c r="H21" s="31"/>
      <c r="I21" s="31"/>
      <c r="J21" s="31"/>
      <c r="K21" s="31"/>
      <c r="L21" s="31"/>
    </row>
    <row r="22" spans="1:12" ht="13.5" customHeight="1" x14ac:dyDescent="0.15">
      <c r="A22" s="31"/>
      <c r="B22" s="31"/>
      <c r="C22" s="31"/>
      <c r="D22" s="31"/>
      <c r="E22" s="31"/>
      <c r="F22" s="31"/>
      <c r="G22" s="31"/>
      <c r="H22" s="31"/>
      <c r="I22" s="31"/>
      <c r="J22" s="31"/>
      <c r="K22" s="31"/>
      <c r="L22" s="31"/>
    </row>
    <row r="23" spans="1:12" ht="13.5" customHeight="1" x14ac:dyDescent="0.15">
      <c r="A23" s="31"/>
      <c r="B23" s="31"/>
      <c r="C23" s="31"/>
      <c r="D23" s="31"/>
      <c r="E23" s="31"/>
      <c r="F23" s="31"/>
      <c r="G23" s="31"/>
      <c r="H23" s="31"/>
      <c r="I23" s="31"/>
      <c r="J23" s="31"/>
      <c r="K23" s="31"/>
      <c r="L23" s="31"/>
    </row>
    <row r="24" spans="1:12" ht="13.5" customHeight="1" x14ac:dyDescent="0.15">
      <c r="A24" s="31"/>
      <c r="B24" s="31"/>
      <c r="C24" s="31"/>
      <c r="D24" s="31"/>
      <c r="E24" s="31"/>
      <c r="F24" s="31"/>
      <c r="G24" s="31"/>
      <c r="H24" s="31"/>
      <c r="I24" s="31"/>
      <c r="J24" s="31"/>
      <c r="K24" s="31"/>
      <c r="L24" s="31"/>
    </row>
    <row r="25" spans="1:12" ht="13.5" customHeight="1" x14ac:dyDescent="0.15">
      <c r="A25" s="31"/>
      <c r="B25" s="31"/>
      <c r="C25" s="31"/>
      <c r="D25" s="31"/>
      <c r="E25" s="31"/>
      <c r="F25" s="31"/>
      <c r="G25" s="31"/>
      <c r="H25" s="31"/>
      <c r="I25" s="31"/>
      <c r="J25" s="31"/>
      <c r="K25" s="31"/>
      <c r="L25" s="31"/>
    </row>
    <row r="26" spans="1:12" ht="13.5" customHeight="1" x14ac:dyDescent="0.15">
      <c r="A26" s="31"/>
      <c r="B26" s="31"/>
      <c r="C26" s="31"/>
      <c r="D26" s="31"/>
      <c r="E26" s="31"/>
      <c r="F26" s="31"/>
      <c r="G26" s="31"/>
      <c r="H26" s="31"/>
      <c r="I26" s="31"/>
      <c r="J26" s="31"/>
      <c r="K26" s="31"/>
      <c r="L26" s="31"/>
    </row>
    <row r="27" spans="1:12" ht="13.5" customHeight="1" x14ac:dyDescent="0.15">
      <c r="A27" s="31"/>
      <c r="B27" s="31"/>
      <c r="C27" s="31"/>
      <c r="D27" s="31"/>
      <c r="E27" s="31"/>
      <c r="F27" s="31"/>
      <c r="G27" s="31"/>
      <c r="H27" s="31"/>
      <c r="I27" s="31"/>
      <c r="J27" s="31"/>
      <c r="K27" s="31"/>
      <c r="L27" s="31"/>
    </row>
    <row r="28" spans="1:12" ht="13.5" customHeight="1" x14ac:dyDescent="0.15">
      <c r="A28" s="31"/>
      <c r="B28" s="31"/>
      <c r="C28" s="31"/>
      <c r="D28" s="31"/>
      <c r="E28" s="31"/>
      <c r="F28" s="31"/>
      <c r="G28" s="31"/>
      <c r="H28" s="31"/>
      <c r="I28" s="31"/>
      <c r="J28" s="31"/>
      <c r="K28" s="31"/>
      <c r="L28" s="31"/>
    </row>
    <row r="29" spans="1:12" ht="13.5" customHeight="1" x14ac:dyDescent="0.15">
      <c r="A29" s="31"/>
      <c r="B29" s="31"/>
      <c r="C29" s="31"/>
      <c r="D29" s="31"/>
      <c r="E29" s="31"/>
      <c r="F29" s="31"/>
      <c r="G29" s="31"/>
      <c r="H29" s="31"/>
      <c r="I29" s="31"/>
      <c r="J29" s="31"/>
      <c r="K29" s="31"/>
      <c r="L29" s="31"/>
    </row>
    <row r="30" spans="1:12" ht="13.5" customHeight="1" x14ac:dyDescent="0.15">
      <c r="A30" s="31"/>
      <c r="B30" s="31"/>
      <c r="C30" s="31"/>
      <c r="D30" s="31"/>
      <c r="E30" s="31"/>
      <c r="F30" s="31"/>
      <c r="G30" s="31"/>
      <c r="H30" s="31"/>
      <c r="I30" s="31"/>
      <c r="J30" s="31"/>
      <c r="K30" s="31"/>
      <c r="L30" s="31"/>
    </row>
    <row r="31" spans="1:12" ht="13.5" customHeight="1" x14ac:dyDescent="0.15">
      <c r="A31" s="31"/>
      <c r="B31" s="31"/>
      <c r="C31" s="31"/>
      <c r="D31" s="31"/>
      <c r="E31" s="31"/>
      <c r="F31" s="31"/>
      <c r="G31" s="31"/>
      <c r="H31" s="31"/>
      <c r="I31" s="31"/>
      <c r="J31" s="31"/>
      <c r="K31" s="31"/>
      <c r="L31" s="31"/>
    </row>
    <row r="32" spans="1:12" ht="13.5" customHeight="1" x14ac:dyDescent="0.15">
      <c r="A32" s="31"/>
      <c r="B32" s="31"/>
      <c r="C32" s="31"/>
      <c r="D32" s="31"/>
      <c r="E32" s="31"/>
      <c r="F32" s="31"/>
      <c r="G32" s="31"/>
      <c r="H32" s="31"/>
      <c r="I32" s="31"/>
      <c r="J32" s="31"/>
      <c r="K32" s="31"/>
      <c r="L32" s="31"/>
    </row>
    <row r="33" spans="1:12" ht="13.5" customHeight="1" x14ac:dyDescent="0.15">
      <c r="A33" s="31"/>
      <c r="B33" s="31"/>
      <c r="C33" s="31"/>
      <c r="D33" s="31"/>
      <c r="E33" s="31"/>
      <c r="F33" s="31"/>
      <c r="G33" s="31"/>
      <c r="H33" s="31"/>
      <c r="I33" s="31"/>
      <c r="J33" s="31"/>
      <c r="K33" s="31"/>
      <c r="L33" s="31"/>
    </row>
    <row r="34" spans="1:12" ht="13.5" customHeight="1" x14ac:dyDescent="0.15">
      <c r="A34" s="31"/>
      <c r="B34" s="31"/>
      <c r="C34" s="31"/>
      <c r="D34" s="31"/>
      <c r="E34" s="31"/>
      <c r="F34" s="31"/>
      <c r="G34" s="31"/>
      <c r="H34" s="31"/>
      <c r="I34" s="31"/>
      <c r="J34" s="31"/>
      <c r="K34" s="31"/>
      <c r="L34" s="31"/>
    </row>
    <row r="35" spans="1:12" ht="13.5" customHeight="1" x14ac:dyDescent="0.15">
      <c r="A35" s="31"/>
      <c r="B35" s="31"/>
      <c r="C35" s="31"/>
      <c r="D35" s="31"/>
      <c r="E35" s="31"/>
      <c r="F35" s="31"/>
      <c r="G35" s="31"/>
      <c r="H35" s="31"/>
      <c r="I35" s="31"/>
      <c r="J35" s="31"/>
      <c r="K35" s="31"/>
      <c r="L35" s="31"/>
    </row>
    <row r="36" spans="1:12" ht="13.5" customHeight="1" x14ac:dyDescent="0.15">
      <c r="A36" s="31"/>
      <c r="B36" s="31"/>
      <c r="C36" s="31"/>
      <c r="D36" s="31"/>
      <c r="E36" s="31"/>
      <c r="F36" s="31"/>
      <c r="G36" s="31"/>
      <c r="H36" s="31"/>
      <c r="I36" s="31"/>
      <c r="J36" s="31"/>
      <c r="K36" s="31"/>
      <c r="L36" s="31"/>
    </row>
    <row r="37" spans="1:12" ht="13.5" customHeight="1" x14ac:dyDescent="0.15">
      <c r="A37" s="31"/>
      <c r="B37" s="31"/>
      <c r="C37" s="31"/>
      <c r="D37" s="31"/>
      <c r="E37" s="31"/>
      <c r="F37" s="31"/>
      <c r="G37" s="31"/>
      <c r="H37" s="31"/>
      <c r="I37" s="31"/>
      <c r="J37" s="31"/>
      <c r="K37" s="31"/>
      <c r="L37" s="31"/>
    </row>
    <row r="38" spans="1:12" ht="13.5" customHeight="1" x14ac:dyDescent="0.15">
      <c r="A38" s="31"/>
      <c r="B38" s="31"/>
      <c r="C38" s="31"/>
      <c r="D38" s="31"/>
      <c r="E38" s="31"/>
      <c r="F38" s="31"/>
      <c r="G38" s="31"/>
      <c r="H38" s="31"/>
      <c r="I38" s="31"/>
      <c r="J38" s="31"/>
      <c r="K38" s="31"/>
      <c r="L38" s="31"/>
    </row>
    <row r="39" spans="1:12" ht="13.5" customHeight="1" x14ac:dyDescent="0.15">
      <c r="A39" s="31"/>
      <c r="B39" s="31"/>
      <c r="C39" s="31"/>
      <c r="D39" s="31"/>
      <c r="E39" s="31"/>
      <c r="F39" s="31"/>
      <c r="G39" s="31"/>
      <c r="H39" s="31"/>
      <c r="I39" s="31"/>
      <c r="J39" s="31"/>
      <c r="K39" s="31"/>
      <c r="L39" s="31"/>
    </row>
    <row r="40" spans="1:12" ht="13.5" customHeight="1" x14ac:dyDescent="0.15">
      <c r="A40" s="31"/>
      <c r="B40" s="31"/>
      <c r="C40" s="31"/>
      <c r="D40" s="31"/>
      <c r="E40" s="31"/>
      <c r="F40" s="31"/>
      <c r="G40" s="31"/>
      <c r="H40" s="31"/>
      <c r="I40" s="31"/>
      <c r="J40" s="31"/>
      <c r="K40" s="31"/>
      <c r="L40" s="31"/>
    </row>
    <row r="41" spans="1:12" ht="13.5" customHeight="1" x14ac:dyDescent="0.15">
      <c r="A41" s="31"/>
      <c r="B41" s="31"/>
      <c r="C41" s="31"/>
      <c r="D41" s="31"/>
      <c r="E41" s="31"/>
      <c r="F41" s="31"/>
      <c r="G41" s="31"/>
      <c r="H41" s="31"/>
      <c r="I41" s="31"/>
      <c r="J41" s="31"/>
      <c r="K41" s="31"/>
      <c r="L41" s="31"/>
    </row>
    <row r="42" spans="1:12" ht="13.5" customHeight="1" x14ac:dyDescent="0.15">
      <c r="A42" s="31"/>
      <c r="B42" s="31"/>
      <c r="C42" s="31"/>
      <c r="D42" s="31"/>
      <c r="E42" s="31"/>
      <c r="F42" s="31"/>
      <c r="G42" s="31"/>
      <c r="H42" s="31"/>
      <c r="I42" s="31"/>
      <c r="J42" s="31"/>
      <c r="K42" s="31"/>
      <c r="L42" s="31"/>
    </row>
    <row r="43" spans="1:12" ht="13.5" customHeight="1" x14ac:dyDescent="0.15">
      <c r="A43" s="31"/>
      <c r="B43" s="31"/>
      <c r="C43" s="31"/>
      <c r="D43" s="31"/>
      <c r="E43" s="31"/>
      <c r="F43" s="31"/>
      <c r="G43" s="31"/>
      <c r="H43" s="31"/>
      <c r="I43" s="31"/>
      <c r="J43" s="31"/>
      <c r="K43" s="31"/>
      <c r="L43" s="31"/>
    </row>
    <row r="44" spans="1:12" ht="13.5" customHeight="1" x14ac:dyDescent="0.15">
      <c r="A44" s="31"/>
      <c r="B44" s="31"/>
      <c r="C44" s="31"/>
      <c r="D44" s="31"/>
      <c r="E44" s="31"/>
      <c r="F44" s="31"/>
      <c r="G44" s="31"/>
      <c r="H44" s="31"/>
      <c r="I44" s="31"/>
      <c r="J44" s="31"/>
      <c r="K44" s="31"/>
      <c r="L44" s="31"/>
    </row>
    <row r="45" spans="1:12" ht="13.5" customHeight="1" x14ac:dyDescent="0.15">
      <c r="A45" s="31"/>
      <c r="B45" s="31"/>
      <c r="C45" s="31"/>
      <c r="D45" s="31"/>
      <c r="E45" s="31"/>
      <c r="F45" s="31"/>
      <c r="G45" s="31"/>
      <c r="H45" s="31"/>
      <c r="I45" s="31"/>
      <c r="J45" s="31"/>
      <c r="K45" s="31"/>
      <c r="L45" s="31"/>
    </row>
    <row r="46" spans="1:12" ht="13.5" customHeight="1" x14ac:dyDescent="0.15">
      <c r="A46" s="31"/>
      <c r="B46" s="31"/>
      <c r="C46" s="31"/>
      <c r="D46" s="31"/>
      <c r="E46" s="31"/>
      <c r="F46" s="31"/>
      <c r="G46" s="31"/>
      <c r="H46" s="31"/>
      <c r="I46" s="31"/>
      <c r="J46" s="31"/>
      <c r="K46" s="31"/>
      <c r="L46" s="31"/>
    </row>
    <row r="47" spans="1:12" ht="13.5" customHeight="1" x14ac:dyDescent="0.15">
      <c r="A47" s="31"/>
      <c r="B47" s="31"/>
      <c r="C47" s="31"/>
      <c r="D47" s="31"/>
      <c r="E47" s="31"/>
      <c r="F47" s="31"/>
      <c r="G47" s="31"/>
      <c r="H47" s="31"/>
      <c r="I47" s="31"/>
      <c r="J47" s="31"/>
      <c r="K47" s="31"/>
      <c r="L47" s="31"/>
    </row>
    <row r="48" spans="1:12" ht="13.5" customHeight="1" x14ac:dyDescent="0.15">
      <c r="A48" s="31"/>
      <c r="B48" s="31"/>
      <c r="C48" s="31"/>
      <c r="D48" s="31"/>
      <c r="E48" s="31"/>
      <c r="F48" s="31"/>
      <c r="G48" s="31"/>
      <c r="H48" s="31"/>
      <c r="I48" s="31"/>
      <c r="J48" s="31"/>
      <c r="K48" s="31"/>
      <c r="L48" s="31"/>
    </row>
    <row r="49" spans="1:12" ht="13.5" customHeight="1" x14ac:dyDescent="0.15">
      <c r="A49" s="31"/>
      <c r="B49" s="31"/>
      <c r="C49" s="31"/>
      <c r="D49" s="31"/>
      <c r="E49" s="31"/>
      <c r="F49" s="31"/>
      <c r="G49" s="31"/>
      <c r="H49" s="31"/>
      <c r="I49" s="31"/>
      <c r="J49" s="31"/>
      <c r="K49" s="31"/>
      <c r="L49" s="31"/>
    </row>
    <row r="50" spans="1:12" ht="13.5" customHeight="1" x14ac:dyDescent="0.15">
      <c r="A50" s="31"/>
      <c r="B50" s="31"/>
      <c r="C50" s="31"/>
      <c r="D50" s="31"/>
      <c r="E50" s="31"/>
      <c r="F50" s="31"/>
      <c r="G50" s="31"/>
      <c r="H50" s="31"/>
      <c r="I50" s="31"/>
      <c r="J50" s="31"/>
      <c r="K50" s="31"/>
      <c r="L50" s="31"/>
    </row>
    <row r="51" spans="1:12" ht="13.5" customHeight="1" x14ac:dyDescent="0.15">
      <c r="A51" s="31"/>
      <c r="B51" s="31"/>
      <c r="C51" s="31"/>
      <c r="D51" s="31"/>
      <c r="E51" s="31"/>
      <c r="F51" s="31"/>
      <c r="G51" s="31"/>
      <c r="H51" s="31"/>
      <c r="I51" s="31"/>
      <c r="J51" s="31"/>
      <c r="K51" s="31"/>
      <c r="L51" s="31"/>
    </row>
    <row r="52" spans="1:12" ht="13.5" customHeight="1" x14ac:dyDescent="0.15">
      <c r="A52" s="31"/>
      <c r="B52" s="31"/>
      <c r="C52" s="31"/>
      <c r="D52" s="31"/>
      <c r="E52" s="31"/>
      <c r="F52" s="31"/>
      <c r="G52" s="31"/>
      <c r="H52" s="31"/>
      <c r="I52" s="31"/>
      <c r="J52" s="31"/>
      <c r="K52" s="31"/>
      <c r="L52" s="31"/>
    </row>
    <row r="53" spans="1:12" ht="13.5" customHeight="1" x14ac:dyDescent="0.15">
      <c r="A53" s="31"/>
      <c r="B53" s="31"/>
      <c r="C53" s="31"/>
      <c r="D53" s="31"/>
      <c r="E53" s="31"/>
      <c r="F53" s="31"/>
      <c r="G53" s="31"/>
      <c r="H53" s="31"/>
      <c r="I53" s="31"/>
      <c r="J53" s="31"/>
      <c r="K53" s="31"/>
      <c r="L53" s="31"/>
    </row>
    <row r="54" spans="1:12" ht="13.5" customHeight="1" x14ac:dyDescent="0.15">
      <c r="A54" s="31"/>
      <c r="B54" s="31"/>
      <c r="C54" s="31"/>
      <c r="D54" s="31"/>
      <c r="E54" s="31"/>
      <c r="F54" s="31"/>
      <c r="G54" s="31"/>
      <c r="H54" s="31"/>
      <c r="I54" s="31"/>
      <c r="J54" s="31"/>
      <c r="K54" s="31"/>
      <c r="L54" s="31"/>
    </row>
    <row r="55" spans="1:12" ht="13.5" customHeight="1" x14ac:dyDescent="0.15">
      <c r="A55" s="31"/>
      <c r="B55" s="31"/>
      <c r="C55" s="31"/>
      <c r="D55" s="31"/>
      <c r="E55" s="31"/>
      <c r="F55" s="31"/>
      <c r="G55" s="31"/>
      <c r="H55" s="31"/>
      <c r="I55" s="31"/>
      <c r="J55" s="31"/>
      <c r="K55" s="31"/>
      <c r="L55" s="31"/>
    </row>
    <row r="56" spans="1:12" ht="13.5" customHeight="1" x14ac:dyDescent="0.15">
      <c r="A56" s="31"/>
      <c r="B56" s="31"/>
      <c r="C56" s="31"/>
      <c r="D56" s="31"/>
      <c r="E56" s="31"/>
      <c r="F56" s="31"/>
      <c r="G56" s="31"/>
      <c r="H56" s="31"/>
      <c r="I56" s="31"/>
      <c r="J56" s="31"/>
      <c r="K56" s="31"/>
      <c r="L56" s="31"/>
    </row>
    <row r="57" spans="1:12" ht="13.5" customHeight="1" x14ac:dyDescent="0.15">
      <c r="A57" s="31"/>
      <c r="B57" s="31"/>
      <c r="C57" s="31"/>
      <c r="D57" s="31"/>
      <c r="E57" s="31"/>
      <c r="F57" s="31"/>
      <c r="G57" s="31"/>
      <c r="H57" s="31"/>
      <c r="I57" s="31"/>
      <c r="J57" s="31"/>
      <c r="K57" s="31"/>
      <c r="L57" s="31"/>
    </row>
    <row r="58" spans="1:12" ht="13.5" customHeight="1" x14ac:dyDescent="0.15">
      <c r="A58" s="31"/>
      <c r="B58" s="31"/>
      <c r="C58" s="31"/>
      <c r="D58" s="31"/>
      <c r="E58" s="31"/>
      <c r="F58" s="31"/>
      <c r="G58" s="31"/>
      <c r="H58" s="31"/>
      <c r="I58" s="31"/>
      <c r="J58" s="31"/>
      <c r="K58" s="31"/>
      <c r="L58" s="31"/>
    </row>
    <row r="59" spans="1:12" ht="13.5" customHeight="1" x14ac:dyDescent="0.15">
      <c r="A59" s="31"/>
      <c r="B59" s="31"/>
      <c r="C59" s="31"/>
      <c r="D59" s="31"/>
      <c r="E59" s="31"/>
      <c r="F59" s="31"/>
      <c r="G59" s="31"/>
      <c r="H59" s="31"/>
      <c r="I59" s="31"/>
      <c r="J59" s="31"/>
      <c r="K59" s="31"/>
      <c r="L59" s="31"/>
    </row>
    <row r="60" spans="1:12" ht="13.5" customHeight="1" x14ac:dyDescent="0.15">
      <c r="A60" s="31"/>
      <c r="B60" s="31"/>
      <c r="C60" s="31"/>
      <c r="D60" s="31"/>
      <c r="E60" s="31"/>
      <c r="F60" s="31"/>
      <c r="G60" s="31"/>
      <c r="H60" s="31"/>
      <c r="I60" s="31"/>
      <c r="J60" s="31"/>
      <c r="K60" s="31"/>
      <c r="L60" s="31"/>
    </row>
    <row r="61" spans="1:12" ht="13.5" customHeight="1" x14ac:dyDescent="0.15">
      <c r="A61" s="31"/>
      <c r="B61" s="31"/>
      <c r="C61" s="31"/>
      <c r="D61" s="31"/>
      <c r="E61" s="31"/>
      <c r="F61" s="31"/>
      <c r="G61" s="31"/>
      <c r="H61" s="31"/>
      <c r="I61" s="31"/>
      <c r="J61" s="31"/>
      <c r="K61" s="31"/>
      <c r="L61" s="31"/>
    </row>
    <row r="62" spans="1:12" ht="13.5" customHeight="1" x14ac:dyDescent="0.15">
      <c r="A62" s="31"/>
      <c r="B62" s="31"/>
      <c r="C62" s="31"/>
      <c r="D62" s="31"/>
      <c r="E62" s="31"/>
      <c r="F62" s="31"/>
      <c r="G62" s="31"/>
      <c r="H62" s="31"/>
      <c r="I62" s="31"/>
      <c r="J62" s="31"/>
      <c r="K62" s="31"/>
      <c r="L62" s="31"/>
    </row>
    <row r="63" spans="1:12" ht="13.5" customHeight="1" x14ac:dyDescent="0.15">
      <c r="A63" s="31"/>
      <c r="B63" s="31"/>
      <c r="C63" s="31"/>
      <c r="D63" s="31"/>
      <c r="E63" s="31"/>
      <c r="F63" s="31"/>
      <c r="G63" s="31"/>
      <c r="H63" s="31"/>
      <c r="I63" s="31"/>
      <c r="J63" s="31"/>
      <c r="K63" s="31"/>
      <c r="L63" s="31"/>
    </row>
    <row r="64" spans="1:12" ht="13.5" customHeight="1" x14ac:dyDescent="0.15">
      <c r="A64" s="31"/>
      <c r="B64" s="31"/>
      <c r="C64" s="31"/>
      <c r="D64" s="31"/>
      <c r="E64" s="31"/>
      <c r="F64" s="31"/>
      <c r="G64" s="31"/>
      <c r="H64" s="31"/>
      <c r="I64" s="31"/>
      <c r="J64" s="31"/>
      <c r="K64" s="31"/>
      <c r="L64" s="31"/>
    </row>
    <row r="65" spans="1:12" ht="13.5" customHeight="1" x14ac:dyDescent="0.15">
      <c r="A65" s="31"/>
      <c r="B65" s="31"/>
      <c r="C65" s="31"/>
      <c r="D65" s="31"/>
      <c r="E65" s="31"/>
      <c r="F65" s="31"/>
      <c r="G65" s="31"/>
      <c r="H65" s="31"/>
      <c r="I65" s="31"/>
      <c r="J65" s="31"/>
      <c r="K65" s="31"/>
      <c r="L65" s="31"/>
    </row>
    <row r="66" spans="1:12" ht="13.5" customHeight="1" x14ac:dyDescent="0.15">
      <c r="A66" s="31"/>
      <c r="B66" s="31"/>
      <c r="C66" s="31"/>
      <c r="D66" s="31"/>
      <c r="E66" s="31"/>
      <c r="F66" s="31"/>
      <c r="G66" s="31"/>
      <c r="H66" s="31"/>
      <c r="I66" s="31"/>
      <c r="J66" s="31"/>
      <c r="K66" s="31"/>
      <c r="L66" s="31"/>
    </row>
    <row r="67" spans="1:12" ht="13.5" customHeight="1" x14ac:dyDescent="0.15">
      <c r="A67" s="31"/>
      <c r="B67" s="31"/>
      <c r="C67" s="31"/>
      <c r="D67" s="31"/>
      <c r="E67" s="31"/>
      <c r="F67" s="31"/>
      <c r="G67" s="31"/>
      <c r="H67" s="31"/>
      <c r="I67" s="31"/>
      <c r="J67" s="31"/>
      <c r="K67" s="31"/>
      <c r="L67" s="31"/>
    </row>
    <row r="68" spans="1:12" ht="13.5" customHeight="1" x14ac:dyDescent="0.15">
      <c r="A68" s="31"/>
      <c r="B68" s="31"/>
      <c r="C68" s="31"/>
      <c r="D68" s="31"/>
      <c r="E68" s="31"/>
      <c r="F68" s="31"/>
      <c r="G68" s="31"/>
      <c r="H68" s="31"/>
      <c r="I68" s="31"/>
      <c r="J68" s="31"/>
      <c r="K68" s="31"/>
      <c r="L68" s="31"/>
    </row>
    <row r="69" spans="1:12" ht="13.5" customHeight="1" x14ac:dyDescent="0.15">
      <c r="A69" s="31"/>
      <c r="B69" s="31"/>
      <c r="C69" s="31"/>
      <c r="D69" s="31"/>
      <c r="E69" s="31"/>
      <c r="F69" s="31"/>
      <c r="G69" s="31"/>
      <c r="H69" s="31"/>
      <c r="I69" s="31"/>
      <c r="J69" s="31"/>
      <c r="K69" s="31"/>
      <c r="L69" s="31"/>
    </row>
    <row r="70" spans="1:12" ht="13.5" customHeight="1" x14ac:dyDescent="0.15">
      <c r="A70" s="31"/>
      <c r="B70" s="31"/>
      <c r="C70" s="31"/>
      <c r="D70" s="31"/>
      <c r="E70" s="31"/>
      <c r="F70" s="31"/>
      <c r="G70" s="31"/>
      <c r="H70" s="31"/>
      <c r="I70" s="31"/>
      <c r="J70" s="31"/>
      <c r="K70" s="31"/>
      <c r="L70" s="31"/>
    </row>
    <row r="71" spans="1:12" ht="13.5" customHeight="1" x14ac:dyDescent="0.15">
      <c r="A71" s="31"/>
      <c r="B71" s="31"/>
      <c r="C71" s="31"/>
      <c r="D71" s="31"/>
      <c r="E71" s="31"/>
      <c r="F71" s="31"/>
      <c r="G71" s="31"/>
      <c r="H71" s="31"/>
      <c r="I71" s="31"/>
      <c r="J71" s="31"/>
      <c r="K71" s="31"/>
      <c r="L71" s="31"/>
    </row>
    <row r="72" spans="1:12" ht="13.5" customHeight="1" x14ac:dyDescent="0.15">
      <c r="A72" s="31"/>
      <c r="B72" s="31"/>
      <c r="C72" s="31"/>
      <c r="D72" s="31"/>
      <c r="E72" s="31"/>
      <c r="F72" s="31"/>
      <c r="G72" s="31"/>
      <c r="H72" s="31"/>
      <c r="I72" s="31"/>
      <c r="J72" s="31"/>
      <c r="K72" s="31"/>
      <c r="L72" s="31"/>
    </row>
    <row r="73" spans="1:12" ht="13.5" customHeight="1" x14ac:dyDescent="0.15">
      <c r="A73" s="31"/>
      <c r="B73" s="31"/>
      <c r="C73" s="31"/>
      <c r="D73" s="31"/>
      <c r="E73" s="31"/>
      <c r="F73" s="31"/>
      <c r="G73" s="31"/>
      <c r="H73" s="31"/>
      <c r="I73" s="31"/>
      <c r="J73" s="31"/>
      <c r="K73" s="31"/>
      <c r="L73" s="31"/>
    </row>
    <row r="74" spans="1:12" ht="13.5" customHeight="1" x14ac:dyDescent="0.15">
      <c r="A74" s="31"/>
      <c r="B74" s="31"/>
      <c r="C74" s="31"/>
      <c r="D74" s="31"/>
      <c r="E74" s="31"/>
      <c r="F74" s="31"/>
      <c r="G74" s="31"/>
      <c r="H74" s="31"/>
      <c r="I74" s="31"/>
      <c r="J74" s="31"/>
      <c r="K74" s="31"/>
      <c r="L74" s="31"/>
    </row>
    <row r="75" spans="1:12" ht="13.5" customHeight="1" x14ac:dyDescent="0.15">
      <c r="A75" s="31"/>
      <c r="B75" s="31"/>
      <c r="C75" s="31"/>
      <c r="D75" s="31"/>
      <c r="E75" s="31"/>
      <c r="F75" s="31"/>
      <c r="G75" s="31"/>
      <c r="H75" s="31"/>
      <c r="I75" s="31"/>
      <c r="J75" s="31"/>
      <c r="K75" s="31"/>
      <c r="L75" s="31"/>
    </row>
    <row r="76" spans="1:12" ht="13.5" customHeight="1" x14ac:dyDescent="0.15">
      <c r="A76" s="31"/>
      <c r="B76" s="31"/>
      <c r="C76" s="31"/>
      <c r="D76" s="31"/>
      <c r="E76" s="31"/>
      <c r="F76" s="31"/>
      <c r="G76" s="31"/>
      <c r="H76" s="31"/>
      <c r="I76" s="31"/>
      <c r="J76" s="31"/>
      <c r="K76" s="31"/>
      <c r="L76" s="31"/>
    </row>
    <row r="77" spans="1:12" ht="13.5" customHeight="1" x14ac:dyDescent="0.15">
      <c r="A77" s="31"/>
      <c r="B77" s="31"/>
      <c r="C77" s="31"/>
      <c r="D77" s="31"/>
      <c r="E77" s="31"/>
      <c r="F77" s="31"/>
      <c r="G77" s="31"/>
      <c r="H77" s="31"/>
      <c r="I77" s="31"/>
      <c r="J77" s="31"/>
      <c r="K77" s="31"/>
      <c r="L77" s="31"/>
    </row>
    <row r="78" spans="1:12" ht="13.5" customHeight="1" x14ac:dyDescent="0.15">
      <c r="A78" s="31"/>
      <c r="B78" s="31"/>
      <c r="C78" s="31"/>
      <c r="D78" s="31"/>
      <c r="E78" s="31"/>
      <c r="F78" s="31"/>
      <c r="G78" s="31"/>
      <c r="H78" s="31"/>
      <c r="I78" s="31"/>
      <c r="J78" s="31"/>
      <c r="K78" s="31"/>
      <c r="L78" s="31"/>
    </row>
    <row r="79" spans="1:12" ht="13.5" customHeight="1" x14ac:dyDescent="0.15">
      <c r="A79" s="31"/>
      <c r="B79" s="31"/>
      <c r="C79" s="31"/>
      <c r="D79" s="31"/>
      <c r="E79" s="31"/>
      <c r="F79" s="31"/>
      <c r="G79" s="31"/>
      <c r="H79" s="31"/>
      <c r="I79" s="31"/>
      <c r="J79" s="31"/>
      <c r="K79" s="31"/>
      <c r="L79" s="31"/>
    </row>
    <row r="80" spans="1:12" ht="13.5" customHeight="1" x14ac:dyDescent="0.15">
      <c r="A80" s="31"/>
      <c r="B80" s="31"/>
      <c r="C80" s="31"/>
      <c r="D80" s="31"/>
      <c r="E80" s="31"/>
      <c r="F80" s="31"/>
      <c r="G80" s="31"/>
      <c r="H80" s="31"/>
      <c r="I80" s="31"/>
      <c r="J80" s="31"/>
      <c r="K80" s="31"/>
      <c r="L80" s="31"/>
    </row>
    <row r="81" spans="1:12" ht="13.5" customHeight="1" x14ac:dyDescent="0.15">
      <c r="A81" s="31"/>
      <c r="B81" s="31"/>
      <c r="C81" s="31"/>
      <c r="D81" s="31"/>
      <c r="E81" s="31"/>
      <c r="F81" s="31"/>
      <c r="G81" s="31"/>
      <c r="H81" s="31"/>
      <c r="I81" s="31"/>
      <c r="J81" s="31"/>
      <c r="K81" s="31"/>
      <c r="L81" s="31"/>
    </row>
    <row r="82" spans="1:12" ht="13.5" customHeight="1" x14ac:dyDescent="0.15">
      <c r="A82" s="31"/>
      <c r="B82" s="31"/>
      <c r="C82" s="31"/>
      <c r="D82" s="31"/>
      <c r="E82" s="31"/>
      <c r="F82" s="31"/>
      <c r="G82" s="31"/>
      <c r="H82" s="31"/>
      <c r="I82" s="31"/>
      <c r="J82" s="31"/>
      <c r="K82" s="31"/>
      <c r="L82" s="31"/>
    </row>
    <row r="83" spans="1:12" ht="13.5" customHeight="1" x14ac:dyDescent="0.15">
      <c r="A83" s="31"/>
      <c r="B83" s="31"/>
      <c r="C83" s="31"/>
      <c r="D83" s="31"/>
      <c r="E83" s="31"/>
      <c r="F83" s="31"/>
      <c r="G83" s="31"/>
      <c r="H83" s="31"/>
      <c r="I83" s="31"/>
      <c r="J83" s="31"/>
      <c r="K83" s="31"/>
      <c r="L83" s="31"/>
    </row>
    <row r="84" spans="1:12" ht="13.5" customHeight="1" x14ac:dyDescent="0.15">
      <c r="A84" s="31"/>
      <c r="B84" s="31"/>
      <c r="C84" s="31"/>
      <c r="D84" s="31"/>
      <c r="E84" s="31"/>
      <c r="F84" s="31"/>
      <c r="G84" s="31"/>
      <c r="H84" s="31"/>
      <c r="I84" s="31"/>
      <c r="J84" s="31"/>
      <c r="K84" s="31"/>
      <c r="L84" s="31"/>
    </row>
    <row r="85" spans="1:12" ht="13.5" customHeight="1" x14ac:dyDescent="0.15">
      <c r="A85" s="31"/>
      <c r="B85" s="31"/>
      <c r="C85" s="31"/>
      <c r="D85" s="31"/>
      <c r="E85" s="31"/>
      <c r="F85" s="31"/>
      <c r="G85" s="31"/>
      <c r="H85" s="31"/>
      <c r="I85" s="31"/>
      <c r="J85" s="31"/>
      <c r="K85" s="31"/>
      <c r="L85" s="31"/>
    </row>
    <row r="86" spans="1:12" ht="13.5" customHeight="1" x14ac:dyDescent="0.15">
      <c r="A86" s="31"/>
      <c r="B86" s="31"/>
      <c r="C86" s="31"/>
      <c r="D86" s="31"/>
      <c r="E86" s="31"/>
      <c r="F86" s="31"/>
      <c r="G86" s="31"/>
      <c r="H86" s="31"/>
      <c r="I86" s="31"/>
      <c r="J86" s="31"/>
      <c r="K86" s="31"/>
      <c r="L86" s="31"/>
    </row>
    <row r="87" spans="1:12" ht="13.5" customHeight="1" x14ac:dyDescent="0.15">
      <c r="A87" s="31"/>
      <c r="B87" s="31"/>
      <c r="C87" s="31"/>
      <c r="D87" s="31"/>
      <c r="E87" s="31"/>
      <c r="F87" s="31"/>
      <c r="G87" s="31"/>
      <c r="H87" s="31"/>
      <c r="I87" s="31"/>
      <c r="J87" s="31"/>
      <c r="K87" s="31"/>
      <c r="L87" s="31"/>
    </row>
    <row r="88" spans="1:12" ht="13.5" customHeight="1" x14ac:dyDescent="0.15">
      <c r="A88" s="31"/>
      <c r="B88" s="31"/>
      <c r="C88" s="31"/>
      <c r="D88" s="31"/>
      <c r="E88" s="31"/>
      <c r="F88" s="31"/>
      <c r="G88" s="31"/>
      <c r="H88" s="31"/>
      <c r="I88" s="31"/>
      <c r="J88" s="31"/>
      <c r="K88" s="31"/>
      <c r="L88" s="31"/>
    </row>
    <row r="89" spans="1:12" ht="13.5" customHeight="1" x14ac:dyDescent="0.15">
      <c r="A89" s="31"/>
      <c r="B89" s="31"/>
      <c r="C89" s="31"/>
      <c r="D89" s="31"/>
      <c r="E89" s="31"/>
      <c r="F89" s="31"/>
      <c r="G89" s="31"/>
      <c r="H89" s="31"/>
      <c r="I89" s="31"/>
      <c r="J89" s="31"/>
      <c r="K89" s="31"/>
      <c r="L89" s="31"/>
    </row>
    <row r="90" spans="1:12" ht="13.5" customHeight="1" x14ac:dyDescent="0.15">
      <c r="A90" s="31"/>
      <c r="B90" s="31"/>
      <c r="C90" s="31"/>
      <c r="D90" s="31"/>
      <c r="E90" s="31"/>
      <c r="F90" s="31"/>
      <c r="G90" s="31"/>
      <c r="H90" s="31"/>
      <c r="I90" s="31"/>
      <c r="J90" s="31"/>
      <c r="K90" s="31"/>
      <c r="L90" s="31"/>
    </row>
    <row r="91" spans="1:12" ht="13.5" customHeight="1" x14ac:dyDescent="0.15">
      <c r="A91" s="31"/>
      <c r="B91" s="31"/>
      <c r="C91" s="31"/>
      <c r="D91" s="31"/>
      <c r="E91" s="31"/>
      <c r="F91" s="31"/>
      <c r="G91" s="31"/>
      <c r="H91" s="31"/>
      <c r="I91" s="31"/>
      <c r="J91" s="31"/>
      <c r="K91" s="31"/>
      <c r="L91" s="31"/>
    </row>
    <row r="92" spans="1:12" ht="13.5" customHeight="1" x14ac:dyDescent="0.15">
      <c r="A92" s="31"/>
      <c r="B92" s="31"/>
      <c r="C92" s="31"/>
      <c r="D92" s="31"/>
      <c r="E92" s="31"/>
      <c r="F92" s="31"/>
      <c r="G92" s="31"/>
      <c r="H92" s="31"/>
      <c r="I92" s="31"/>
      <c r="J92" s="31"/>
      <c r="K92" s="31"/>
      <c r="L92" s="31"/>
    </row>
    <row r="93" spans="1:12" ht="13.5" customHeight="1" x14ac:dyDescent="0.15">
      <c r="A93" s="31"/>
      <c r="B93" s="31"/>
      <c r="C93" s="31"/>
      <c r="D93" s="31"/>
      <c r="E93" s="31"/>
      <c r="F93" s="31"/>
      <c r="G93" s="31"/>
      <c r="H93" s="31"/>
      <c r="I93" s="31"/>
      <c r="J93" s="31"/>
      <c r="K93" s="31"/>
      <c r="L93" s="31"/>
    </row>
    <row r="94" spans="1:12" ht="13.5" customHeight="1" x14ac:dyDescent="0.15">
      <c r="A94" s="31"/>
      <c r="B94" s="31"/>
      <c r="C94" s="31"/>
      <c r="D94" s="31"/>
      <c r="E94" s="31"/>
      <c r="F94" s="31"/>
      <c r="G94" s="31"/>
      <c r="H94" s="31"/>
      <c r="I94" s="31"/>
      <c r="J94" s="31"/>
      <c r="K94" s="31"/>
      <c r="L94" s="31"/>
    </row>
    <row r="95" spans="1:12" ht="13.5" customHeight="1" x14ac:dyDescent="0.15">
      <c r="A95" s="31"/>
      <c r="B95" s="31"/>
      <c r="C95" s="31"/>
      <c r="D95" s="31"/>
      <c r="E95" s="31"/>
      <c r="F95" s="31"/>
      <c r="G95" s="31"/>
      <c r="H95" s="31"/>
      <c r="I95" s="31"/>
      <c r="J95" s="31"/>
      <c r="K95" s="31"/>
      <c r="L95" s="31"/>
    </row>
    <row r="96" spans="1:12" ht="13.5" customHeight="1" x14ac:dyDescent="0.15">
      <c r="A96" s="31"/>
      <c r="B96" s="31"/>
      <c r="C96" s="31"/>
      <c r="D96" s="31"/>
      <c r="E96" s="31"/>
      <c r="F96" s="31"/>
      <c r="G96" s="31"/>
      <c r="H96" s="31"/>
      <c r="I96" s="31"/>
      <c r="J96" s="31"/>
      <c r="K96" s="31"/>
      <c r="L96" s="31"/>
    </row>
    <row r="97" spans="1:12" ht="13.5" customHeight="1" x14ac:dyDescent="0.15">
      <c r="A97" s="31"/>
      <c r="B97" s="31"/>
      <c r="C97" s="31"/>
      <c r="D97" s="31"/>
      <c r="E97" s="31"/>
      <c r="F97" s="31"/>
      <c r="G97" s="31"/>
      <c r="H97" s="31"/>
      <c r="I97" s="31"/>
      <c r="J97" s="31"/>
      <c r="K97" s="31"/>
      <c r="L97" s="31"/>
    </row>
    <row r="98" spans="1:12" ht="13.5" customHeight="1" x14ac:dyDescent="0.15">
      <c r="A98" s="31"/>
      <c r="B98" s="31"/>
      <c r="C98" s="31"/>
      <c r="D98" s="31"/>
      <c r="E98" s="31"/>
      <c r="F98" s="31"/>
      <c r="G98" s="31"/>
      <c r="H98" s="31"/>
      <c r="I98" s="31"/>
      <c r="J98" s="31"/>
      <c r="K98" s="31"/>
      <c r="L98" s="31"/>
    </row>
    <row r="99" spans="1:12" ht="13.5" customHeight="1" x14ac:dyDescent="0.15">
      <c r="A99" s="31"/>
      <c r="B99" s="31"/>
      <c r="C99" s="31"/>
      <c r="D99" s="31"/>
      <c r="E99" s="31"/>
      <c r="F99" s="31"/>
      <c r="G99" s="31"/>
      <c r="H99" s="31"/>
      <c r="I99" s="31"/>
      <c r="J99" s="31"/>
      <c r="K99" s="31"/>
      <c r="L99" s="31"/>
    </row>
    <row r="100" spans="1:12" ht="13.5" customHeight="1" x14ac:dyDescent="0.15">
      <c r="A100" s="31"/>
      <c r="B100" s="31"/>
      <c r="C100" s="31"/>
      <c r="D100" s="31"/>
      <c r="E100" s="31"/>
      <c r="F100" s="31"/>
      <c r="G100" s="31"/>
      <c r="H100" s="31"/>
      <c r="I100" s="31"/>
      <c r="J100" s="31"/>
      <c r="K100" s="31"/>
      <c r="L100" s="31"/>
    </row>
    <row r="101" spans="1:12" ht="13.5" customHeight="1" x14ac:dyDescent="0.15">
      <c r="A101" s="31"/>
      <c r="B101" s="31"/>
      <c r="C101" s="31"/>
      <c r="D101" s="31"/>
      <c r="E101" s="31"/>
      <c r="F101" s="31"/>
      <c r="G101" s="31"/>
      <c r="H101" s="31"/>
      <c r="I101" s="31"/>
      <c r="J101" s="31"/>
      <c r="K101" s="31"/>
      <c r="L101" s="31"/>
    </row>
    <row r="102" spans="1:12" ht="13.5" customHeight="1" x14ac:dyDescent="0.15">
      <c r="A102" s="31"/>
      <c r="B102" s="31"/>
      <c r="C102" s="31"/>
      <c r="D102" s="31"/>
      <c r="E102" s="31"/>
      <c r="F102" s="31"/>
      <c r="G102" s="31"/>
      <c r="H102" s="31"/>
      <c r="I102" s="31"/>
      <c r="J102" s="31"/>
      <c r="K102" s="31"/>
      <c r="L102" s="31"/>
    </row>
    <row r="103" spans="1:12" ht="13.5" customHeight="1" x14ac:dyDescent="0.15">
      <c r="A103" s="31"/>
      <c r="B103" s="31"/>
      <c r="C103" s="31"/>
      <c r="D103" s="31"/>
      <c r="E103" s="31"/>
      <c r="F103" s="31"/>
      <c r="G103" s="31"/>
      <c r="H103" s="31"/>
      <c r="I103" s="31"/>
      <c r="J103" s="31"/>
      <c r="K103" s="31"/>
      <c r="L103" s="31"/>
    </row>
    <row r="104" spans="1:12" ht="13.5" customHeight="1" x14ac:dyDescent="0.15">
      <c r="A104" s="31"/>
      <c r="B104" s="31"/>
      <c r="C104" s="31"/>
      <c r="D104" s="31"/>
      <c r="E104" s="31"/>
      <c r="F104" s="31"/>
      <c r="G104" s="31"/>
      <c r="H104" s="31"/>
      <c r="I104" s="31"/>
      <c r="J104" s="31"/>
      <c r="K104" s="31"/>
      <c r="L104" s="31"/>
    </row>
    <row r="105" spans="1:12" ht="13.5" customHeight="1" x14ac:dyDescent="0.15">
      <c r="A105" s="31"/>
      <c r="B105" s="31"/>
      <c r="C105" s="31"/>
      <c r="D105" s="31"/>
      <c r="E105" s="31"/>
      <c r="F105" s="31"/>
      <c r="G105" s="31"/>
      <c r="H105" s="31"/>
      <c r="I105" s="31"/>
      <c r="J105" s="31"/>
      <c r="K105" s="31"/>
      <c r="L105" s="31"/>
    </row>
    <row r="106" spans="1:12" ht="13.5" customHeight="1" x14ac:dyDescent="0.15">
      <c r="A106" s="31"/>
      <c r="B106" s="31"/>
      <c r="C106" s="31"/>
      <c r="D106" s="31"/>
      <c r="E106" s="31"/>
      <c r="F106" s="31"/>
      <c r="G106" s="31"/>
      <c r="H106" s="31"/>
      <c r="I106" s="31"/>
      <c r="J106" s="31"/>
      <c r="K106" s="31"/>
      <c r="L106" s="31"/>
    </row>
    <row r="107" spans="1:12" ht="13.5" customHeight="1" x14ac:dyDescent="0.15">
      <c r="A107" s="31"/>
      <c r="B107" s="31"/>
      <c r="C107" s="31"/>
      <c r="D107" s="31"/>
      <c r="E107" s="31"/>
      <c r="F107" s="31"/>
      <c r="G107" s="31"/>
      <c r="H107" s="31"/>
      <c r="I107" s="31"/>
      <c r="J107" s="31"/>
      <c r="K107" s="31"/>
      <c r="L107" s="31"/>
    </row>
    <row r="108" spans="1:12" ht="13.5" customHeight="1" x14ac:dyDescent="0.15">
      <c r="A108" s="31"/>
      <c r="B108" s="31"/>
      <c r="C108" s="31"/>
      <c r="D108" s="31"/>
      <c r="E108" s="31"/>
      <c r="F108" s="31"/>
      <c r="G108" s="31"/>
      <c r="H108" s="31"/>
      <c r="I108" s="31"/>
      <c r="J108" s="31"/>
      <c r="K108" s="31"/>
      <c r="L108" s="31"/>
    </row>
    <row r="109" spans="1:12" ht="13.5" customHeight="1" x14ac:dyDescent="0.15">
      <c r="A109" s="31"/>
      <c r="B109" s="31"/>
      <c r="C109" s="31"/>
      <c r="D109" s="31"/>
      <c r="E109" s="31"/>
      <c r="F109" s="31"/>
      <c r="G109" s="31"/>
      <c r="H109" s="31"/>
      <c r="I109" s="31"/>
      <c r="J109" s="31"/>
      <c r="K109" s="31"/>
      <c r="L109" s="31"/>
    </row>
    <row r="110" spans="1:12" ht="13.5" customHeight="1" x14ac:dyDescent="0.15">
      <c r="A110" s="31"/>
      <c r="B110" s="31"/>
      <c r="C110" s="31"/>
      <c r="D110" s="31"/>
      <c r="E110" s="31"/>
      <c r="F110" s="31"/>
      <c r="G110" s="31"/>
      <c r="H110" s="31"/>
      <c r="I110" s="31"/>
      <c r="J110" s="31"/>
      <c r="K110" s="31"/>
      <c r="L110" s="31"/>
    </row>
    <row r="111" spans="1:12" ht="13.5" customHeight="1" x14ac:dyDescent="0.15">
      <c r="A111" s="31"/>
      <c r="B111" s="31"/>
      <c r="C111" s="31"/>
      <c r="D111" s="31"/>
      <c r="E111" s="31"/>
      <c r="F111" s="31"/>
      <c r="G111" s="31"/>
      <c r="H111" s="31"/>
      <c r="I111" s="31"/>
      <c r="J111" s="31"/>
      <c r="K111" s="31"/>
      <c r="L111" s="31"/>
    </row>
    <row r="112" spans="1:12" ht="13.5" customHeight="1" x14ac:dyDescent="0.15">
      <c r="A112" s="31"/>
      <c r="B112" s="31"/>
      <c r="C112" s="31"/>
      <c r="D112" s="31"/>
      <c r="E112" s="31"/>
      <c r="F112" s="31"/>
      <c r="G112" s="31"/>
      <c r="H112" s="31"/>
      <c r="I112" s="31"/>
      <c r="J112" s="31"/>
      <c r="K112" s="31"/>
      <c r="L112" s="31"/>
    </row>
    <row r="113" spans="1:12" ht="13.5" customHeight="1" x14ac:dyDescent="0.15">
      <c r="A113" s="31"/>
      <c r="B113" s="31"/>
      <c r="C113" s="31"/>
      <c r="D113" s="31"/>
      <c r="E113" s="31"/>
      <c r="F113" s="31"/>
      <c r="G113" s="31"/>
      <c r="H113" s="31"/>
      <c r="I113" s="31"/>
      <c r="J113" s="31"/>
      <c r="K113" s="31"/>
      <c r="L113" s="31"/>
    </row>
    <row r="114" spans="1:12" ht="13.5" customHeight="1" x14ac:dyDescent="0.15">
      <c r="A114" s="31"/>
      <c r="B114" s="31"/>
      <c r="C114" s="31"/>
      <c r="D114" s="31"/>
      <c r="E114" s="31"/>
      <c r="F114" s="31"/>
      <c r="G114" s="31"/>
      <c r="H114" s="31"/>
      <c r="I114" s="31"/>
      <c r="J114" s="31"/>
      <c r="K114" s="31"/>
      <c r="L114" s="31"/>
    </row>
    <row r="115" spans="1:12" ht="13.5" customHeight="1" x14ac:dyDescent="0.15">
      <c r="A115" s="31"/>
      <c r="B115" s="31"/>
      <c r="C115" s="31"/>
      <c r="D115" s="31"/>
      <c r="E115" s="31"/>
      <c r="F115" s="31"/>
      <c r="G115" s="31"/>
      <c r="H115" s="31"/>
      <c r="I115" s="31"/>
      <c r="J115" s="31"/>
      <c r="K115" s="31"/>
      <c r="L115" s="31"/>
    </row>
    <row r="116" spans="1:12" ht="13.5" customHeight="1" x14ac:dyDescent="0.15">
      <c r="A116" s="31"/>
      <c r="B116" s="31"/>
      <c r="C116" s="31"/>
      <c r="D116" s="31"/>
      <c r="E116" s="31"/>
      <c r="F116" s="31"/>
      <c r="G116" s="31"/>
      <c r="H116" s="31"/>
      <c r="I116" s="31"/>
      <c r="J116" s="31"/>
      <c r="K116" s="31"/>
      <c r="L116" s="31"/>
    </row>
    <row r="117" spans="1:12" ht="13.5" customHeight="1" x14ac:dyDescent="0.15">
      <c r="A117" s="31"/>
      <c r="B117" s="31"/>
      <c r="C117" s="31"/>
      <c r="D117" s="31"/>
      <c r="E117" s="31"/>
      <c r="F117" s="31"/>
      <c r="G117" s="31"/>
      <c r="H117" s="31"/>
      <c r="I117" s="31"/>
      <c r="J117" s="31"/>
      <c r="K117" s="31"/>
      <c r="L117" s="31"/>
    </row>
    <row r="118" spans="1:12" ht="13.5" customHeight="1" x14ac:dyDescent="0.15">
      <c r="A118" s="31"/>
      <c r="B118" s="31"/>
      <c r="C118" s="31"/>
      <c r="D118" s="31"/>
      <c r="E118" s="31"/>
      <c r="F118" s="31"/>
      <c r="G118" s="31"/>
      <c r="H118" s="31"/>
      <c r="I118" s="31"/>
      <c r="J118" s="31"/>
      <c r="K118" s="31"/>
      <c r="L118" s="31"/>
    </row>
    <row r="119" spans="1:12" ht="13.5" customHeight="1" x14ac:dyDescent="0.15">
      <c r="A119" s="31"/>
      <c r="B119" s="31"/>
      <c r="C119" s="31"/>
      <c r="D119" s="31"/>
      <c r="E119" s="31"/>
      <c r="F119" s="31"/>
      <c r="G119" s="31"/>
      <c r="H119" s="31"/>
      <c r="I119" s="31"/>
      <c r="J119" s="31"/>
      <c r="K119" s="31"/>
      <c r="L119" s="31"/>
    </row>
    <row r="120" spans="1:12" ht="13.5" customHeight="1" x14ac:dyDescent="0.15">
      <c r="A120" s="31"/>
      <c r="B120" s="31"/>
      <c r="C120" s="31"/>
      <c r="D120" s="31"/>
      <c r="E120" s="31"/>
      <c r="F120" s="31"/>
      <c r="G120" s="31"/>
      <c r="H120" s="31"/>
      <c r="I120" s="31"/>
      <c r="J120" s="31"/>
      <c r="K120" s="31"/>
      <c r="L120" s="31"/>
    </row>
    <row r="121" spans="1:12" ht="13.5" customHeight="1" x14ac:dyDescent="0.15">
      <c r="A121" s="31"/>
      <c r="B121" s="31"/>
      <c r="C121" s="31"/>
      <c r="D121" s="31"/>
      <c r="E121" s="31"/>
      <c r="F121" s="31"/>
      <c r="G121" s="31"/>
      <c r="H121" s="31"/>
      <c r="I121" s="31"/>
      <c r="J121" s="31"/>
      <c r="K121" s="31"/>
      <c r="L121" s="31"/>
    </row>
    <row r="122" spans="1:12" ht="13.5" customHeight="1" x14ac:dyDescent="0.15">
      <c r="A122" s="31"/>
      <c r="B122" s="31"/>
      <c r="C122" s="31"/>
      <c r="D122" s="31"/>
      <c r="E122" s="31"/>
      <c r="F122" s="31"/>
      <c r="G122" s="31"/>
      <c r="H122" s="31"/>
      <c r="I122" s="31"/>
      <c r="J122" s="31"/>
      <c r="K122" s="31"/>
      <c r="L122" s="31"/>
    </row>
    <row r="123" spans="1:12" ht="13.5" customHeight="1" x14ac:dyDescent="0.15">
      <c r="A123" s="31"/>
      <c r="B123" s="31"/>
      <c r="C123" s="31"/>
      <c r="D123" s="31"/>
      <c r="E123" s="31"/>
      <c r="F123" s="31"/>
      <c r="G123" s="31"/>
      <c r="H123" s="31"/>
      <c r="I123" s="31"/>
      <c r="J123" s="31"/>
      <c r="K123" s="31"/>
      <c r="L123" s="31"/>
    </row>
    <row r="124" spans="1:12" ht="13.5" customHeight="1" x14ac:dyDescent="0.15">
      <c r="A124" s="31"/>
      <c r="B124" s="31"/>
      <c r="C124" s="31"/>
      <c r="D124" s="31"/>
      <c r="E124" s="31"/>
      <c r="F124" s="31"/>
      <c r="G124" s="31"/>
      <c r="H124" s="31"/>
      <c r="I124" s="31"/>
      <c r="J124" s="31"/>
      <c r="K124" s="31"/>
      <c r="L124" s="31"/>
    </row>
    <row r="125" spans="1:12" ht="13.5" customHeight="1" x14ac:dyDescent="0.15">
      <c r="A125" s="31"/>
      <c r="B125" s="31"/>
      <c r="C125" s="31"/>
      <c r="D125" s="31"/>
      <c r="E125" s="31"/>
      <c r="F125" s="31"/>
      <c r="G125" s="31"/>
      <c r="H125" s="31"/>
      <c r="I125" s="31"/>
      <c r="J125" s="31"/>
      <c r="K125" s="31"/>
      <c r="L125" s="31"/>
    </row>
    <row r="126" spans="1:12" ht="13.5" customHeight="1" x14ac:dyDescent="0.15">
      <c r="A126" s="31"/>
      <c r="B126" s="31"/>
      <c r="C126" s="31"/>
      <c r="D126" s="31"/>
      <c r="E126" s="31"/>
      <c r="F126" s="31"/>
      <c r="G126" s="31"/>
      <c r="H126" s="31"/>
      <c r="I126" s="31"/>
      <c r="J126" s="31"/>
      <c r="K126" s="31"/>
      <c r="L126" s="31"/>
    </row>
    <row r="127" spans="1:12" ht="13.5" customHeight="1" x14ac:dyDescent="0.15">
      <c r="A127" s="31"/>
      <c r="B127" s="31"/>
      <c r="C127" s="31"/>
      <c r="D127" s="31"/>
      <c r="E127" s="31"/>
      <c r="F127" s="31"/>
      <c r="G127" s="31"/>
      <c r="H127" s="31"/>
      <c r="I127" s="31"/>
      <c r="J127" s="31"/>
      <c r="K127" s="31"/>
      <c r="L127" s="31"/>
    </row>
    <row r="128" spans="1:12" ht="13.5" customHeight="1" x14ac:dyDescent="0.15">
      <c r="A128" s="31"/>
      <c r="B128" s="31"/>
      <c r="C128" s="31"/>
      <c r="D128" s="31"/>
      <c r="E128" s="31"/>
      <c r="F128" s="31"/>
      <c r="G128" s="31"/>
      <c r="H128" s="31"/>
      <c r="I128" s="31"/>
      <c r="J128" s="31"/>
      <c r="K128" s="31"/>
      <c r="L128" s="31"/>
    </row>
    <row r="129" spans="1:12" ht="13.5" customHeight="1" x14ac:dyDescent="0.15">
      <c r="A129" s="31"/>
      <c r="B129" s="31"/>
      <c r="C129" s="31"/>
      <c r="D129" s="31"/>
      <c r="E129" s="31"/>
      <c r="F129" s="31"/>
      <c r="G129" s="31"/>
      <c r="H129" s="31"/>
      <c r="I129" s="31"/>
      <c r="J129" s="31"/>
      <c r="K129" s="31"/>
      <c r="L129" s="31"/>
    </row>
    <row r="130" spans="1:12" ht="13.5" customHeight="1" x14ac:dyDescent="0.15">
      <c r="A130" s="31"/>
      <c r="B130" s="31"/>
      <c r="C130" s="31"/>
      <c r="D130" s="31"/>
      <c r="E130" s="31"/>
      <c r="F130" s="31"/>
      <c r="G130" s="31"/>
      <c r="H130" s="31"/>
      <c r="I130" s="31"/>
      <c r="J130" s="31"/>
      <c r="K130" s="31"/>
      <c r="L130" s="31"/>
    </row>
    <row r="131" spans="1:12" ht="13.5" customHeight="1" x14ac:dyDescent="0.15">
      <c r="A131" s="31"/>
      <c r="B131" s="31"/>
      <c r="C131" s="31"/>
      <c r="D131" s="31"/>
      <c r="E131" s="31"/>
      <c r="F131" s="31"/>
      <c r="G131" s="31"/>
      <c r="H131" s="31"/>
      <c r="I131" s="31"/>
      <c r="J131" s="31"/>
      <c r="K131" s="31"/>
      <c r="L131" s="31"/>
    </row>
    <row r="132" spans="1:12" ht="13.5" customHeight="1" x14ac:dyDescent="0.15">
      <c r="A132" s="31"/>
      <c r="B132" s="31"/>
      <c r="C132" s="31"/>
      <c r="D132" s="31"/>
      <c r="E132" s="31"/>
      <c r="F132" s="31"/>
      <c r="G132" s="31"/>
      <c r="H132" s="31"/>
      <c r="I132" s="31"/>
      <c r="J132" s="31"/>
      <c r="K132" s="31"/>
      <c r="L132" s="31"/>
    </row>
    <row r="133" spans="1:12" ht="13.5" customHeight="1" x14ac:dyDescent="0.15">
      <c r="A133" s="31"/>
      <c r="B133" s="31"/>
      <c r="C133" s="31"/>
      <c r="D133" s="31"/>
      <c r="E133" s="31"/>
      <c r="F133" s="31"/>
      <c r="G133" s="31"/>
      <c r="H133" s="31"/>
      <c r="I133" s="31"/>
      <c r="J133" s="31"/>
      <c r="K133" s="31"/>
      <c r="L133" s="31"/>
    </row>
    <row r="134" spans="1:12" ht="13.5" customHeight="1" x14ac:dyDescent="0.15">
      <c r="A134" s="31"/>
      <c r="B134" s="31"/>
      <c r="C134" s="31"/>
      <c r="D134" s="31"/>
      <c r="E134" s="31"/>
      <c r="F134" s="31"/>
      <c r="G134" s="31"/>
      <c r="H134" s="31"/>
      <c r="I134" s="31"/>
      <c r="J134" s="31"/>
      <c r="K134" s="31"/>
      <c r="L134" s="31"/>
    </row>
    <row r="135" spans="1:12" ht="13.5" customHeight="1" x14ac:dyDescent="0.15">
      <c r="A135" s="31"/>
      <c r="B135" s="31"/>
      <c r="C135" s="31"/>
      <c r="D135" s="31"/>
      <c r="E135" s="31"/>
      <c r="F135" s="31"/>
      <c r="G135" s="31"/>
      <c r="H135" s="31"/>
      <c r="I135" s="31"/>
      <c r="J135" s="31"/>
      <c r="K135" s="31"/>
      <c r="L135" s="31"/>
    </row>
    <row r="136" spans="1:12" ht="13.5" customHeight="1" x14ac:dyDescent="0.15">
      <c r="A136" s="31"/>
      <c r="B136" s="31"/>
      <c r="C136" s="31"/>
      <c r="D136" s="31"/>
      <c r="E136" s="31"/>
      <c r="F136" s="31"/>
      <c r="G136" s="31"/>
      <c r="H136" s="31"/>
      <c r="I136" s="31"/>
      <c r="J136" s="31"/>
      <c r="K136" s="31"/>
      <c r="L136" s="31"/>
    </row>
    <row r="137" spans="1:12" ht="13.5" customHeight="1" x14ac:dyDescent="0.15">
      <c r="A137" s="31"/>
      <c r="B137" s="31"/>
      <c r="C137" s="31"/>
      <c r="D137" s="31"/>
      <c r="E137" s="31"/>
      <c r="F137" s="31"/>
      <c r="G137" s="31"/>
      <c r="H137" s="31"/>
      <c r="I137" s="31"/>
      <c r="J137" s="31"/>
      <c r="K137" s="31"/>
      <c r="L137" s="31"/>
    </row>
    <row r="138" spans="1:12" ht="13.5" customHeight="1" x14ac:dyDescent="0.15">
      <c r="A138" s="31"/>
      <c r="B138" s="31"/>
      <c r="C138" s="31"/>
      <c r="D138" s="31"/>
      <c r="E138" s="31"/>
      <c r="F138" s="31"/>
      <c r="G138" s="31"/>
      <c r="H138" s="31"/>
      <c r="I138" s="31"/>
      <c r="J138" s="31"/>
      <c r="K138" s="31"/>
      <c r="L138" s="31"/>
    </row>
    <row r="139" spans="1:12" ht="13.5" customHeight="1" x14ac:dyDescent="0.15">
      <c r="A139" s="31"/>
      <c r="B139" s="31"/>
      <c r="C139" s="31"/>
      <c r="D139" s="31"/>
      <c r="E139" s="31"/>
      <c r="F139" s="31"/>
      <c r="G139" s="31"/>
      <c r="H139" s="31"/>
      <c r="I139" s="31"/>
      <c r="J139" s="31"/>
      <c r="K139" s="31"/>
      <c r="L139" s="31"/>
    </row>
    <row r="140" spans="1:12" ht="13.5" customHeight="1" x14ac:dyDescent="0.15">
      <c r="A140" s="31"/>
      <c r="B140" s="31"/>
      <c r="C140" s="31"/>
      <c r="D140" s="31"/>
      <c r="E140" s="31"/>
      <c r="F140" s="31"/>
      <c r="G140" s="31"/>
      <c r="H140" s="31"/>
      <c r="I140" s="31"/>
      <c r="J140" s="31"/>
      <c r="K140" s="31"/>
      <c r="L140" s="31"/>
    </row>
    <row r="141" spans="1:12" ht="13.5" customHeight="1" x14ac:dyDescent="0.15">
      <c r="A141" s="31"/>
      <c r="B141" s="31"/>
      <c r="C141" s="31"/>
      <c r="D141" s="31"/>
      <c r="E141" s="31"/>
      <c r="F141" s="31"/>
      <c r="G141" s="31"/>
      <c r="H141" s="31"/>
      <c r="I141" s="31"/>
      <c r="J141" s="31"/>
      <c r="K141" s="31"/>
      <c r="L141" s="31"/>
    </row>
    <row r="142" spans="1:12" ht="13.5" customHeight="1" x14ac:dyDescent="0.15">
      <c r="A142" s="31"/>
      <c r="B142" s="31"/>
      <c r="C142" s="31"/>
      <c r="D142" s="31"/>
      <c r="E142" s="31"/>
      <c r="F142" s="31"/>
      <c r="G142" s="31"/>
      <c r="H142" s="31"/>
      <c r="I142" s="31"/>
      <c r="J142" s="31"/>
      <c r="K142" s="31"/>
      <c r="L142" s="31"/>
    </row>
    <row r="143" spans="1:12" ht="13.5" customHeight="1" x14ac:dyDescent="0.15">
      <c r="A143" s="31"/>
      <c r="B143" s="31"/>
      <c r="C143" s="31"/>
      <c r="D143" s="31"/>
      <c r="E143" s="31"/>
      <c r="F143" s="31"/>
      <c r="G143" s="31"/>
      <c r="H143" s="31"/>
      <c r="I143" s="31"/>
      <c r="J143" s="31"/>
      <c r="K143" s="31"/>
      <c r="L143" s="31"/>
    </row>
    <row r="144" spans="1:12" ht="13.5" customHeight="1" x14ac:dyDescent="0.15">
      <c r="A144" s="31"/>
      <c r="B144" s="31"/>
      <c r="C144" s="31"/>
      <c r="D144" s="31"/>
      <c r="E144" s="31"/>
      <c r="F144" s="31"/>
      <c r="G144" s="31"/>
      <c r="H144" s="31"/>
      <c r="I144" s="31"/>
      <c r="J144" s="31"/>
      <c r="K144" s="31"/>
      <c r="L144" s="31"/>
    </row>
    <row r="145" spans="1:12" ht="13.5" customHeight="1" x14ac:dyDescent="0.15">
      <c r="A145" s="31"/>
      <c r="B145" s="31"/>
      <c r="C145" s="31"/>
      <c r="D145" s="31"/>
      <c r="E145" s="31"/>
      <c r="F145" s="31"/>
      <c r="G145" s="31"/>
      <c r="H145" s="31"/>
      <c r="I145" s="31"/>
      <c r="J145" s="31"/>
      <c r="K145" s="31"/>
      <c r="L145" s="31"/>
    </row>
    <row r="146" spans="1:12" ht="13.5" customHeight="1" x14ac:dyDescent="0.15">
      <c r="A146" s="31"/>
      <c r="B146" s="31"/>
      <c r="C146" s="31"/>
      <c r="D146" s="31"/>
      <c r="E146" s="31"/>
      <c r="F146" s="31"/>
      <c r="G146" s="31"/>
      <c r="H146" s="31"/>
      <c r="I146" s="31"/>
      <c r="J146" s="31"/>
      <c r="K146" s="31"/>
      <c r="L146" s="31"/>
    </row>
    <row r="147" spans="1:12" ht="13.5" customHeight="1" x14ac:dyDescent="0.15">
      <c r="A147" s="31"/>
      <c r="B147" s="31"/>
      <c r="C147" s="31"/>
      <c r="D147" s="31"/>
      <c r="E147" s="31"/>
      <c r="F147" s="31"/>
      <c r="G147" s="31"/>
      <c r="H147" s="31"/>
      <c r="I147" s="31"/>
      <c r="J147" s="31"/>
      <c r="K147" s="31"/>
      <c r="L147" s="31"/>
    </row>
    <row r="148" spans="1:12" ht="13.5" customHeight="1" x14ac:dyDescent="0.15">
      <c r="A148" s="31"/>
      <c r="B148" s="31"/>
      <c r="C148" s="31"/>
      <c r="D148" s="31"/>
      <c r="E148" s="31"/>
      <c r="F148" s="31"/>
      <c r="G148" s="31"/>
      <c r="H148" s="31"/>
      <c r="I148" s="31"/>
      <c r="J148" s="31"/>
      <c r="K148" s="31"/>
      <c r="L148" s="31"/>
    </row>
    <row r="149" spans="1:12" ht="13.5" customHeight="1" x14ac:dyDescent="0.15">
      <c r="A149" s="31"/>
      <c r="B149" s="31"/>
      <c r="C149" s="31"/>
      <c r="D149" s="31"/>
      <c r="E149" s="31"/>
      <c r="F149" s="31"/>
      <c r="G149" s="31"/>
      <c r="H149" s="31"/>
      <c r="I149" s="31"/>
      <c r="J149" s="31"/>
      <c r="K149" s="31"/>
      <c r="L149" s="31"/>
    </row>
    <row r="150" spans="1:12" ht="13.5" customHeight="1" x14ac:dyDescent="0.15">
      <c r="A150" s="31"/>
      <c r="B150" s="31"/>
      <c r="C150" s="31"/>
      <c r="D150" s="31"/>
      <c r="E150" s="31"/>
      <c r="F150" s="31"/>
      <c r="G150" s="31"/>
      <c r="H150" s="31"/>
      <c r="I150" s="31"/>
      <c r="J150" s="31"/>
      <c r="K150" s="31"/>
      <c r="L150" s="31"/>
    </row>
    <row r="151" spans="1:12" ht="13.5" customHeight="1" x14ac:dyDescent="0.15">
      <c r="A151" s="31"/>
      <c r="B151" s="31"/>
      <c r="C151" s="31"/>
      <c r="D151" s="31"/>
      <c r="E151" s="31"/>
      <c r="F151" s="31"/>
      <c r="G151" s="31"/>
      <c r="H151" s="31"/>
      <c r="I151" s="31"/>
      <c r="J151" s="31"/>
      <c r="K151" s="31"/>
      <c r="L151" s="31"/>
    </row>
    <row r="152" spans="1:12" ht="13.5" customHeight="1" x14ac:dyDescent="0.15">
      <c r="A152" s="31"/>
      <c r="B152" s="31"/>
      <c r="C152" s="31"/>
      <c r="D152" s="31"/>
      <c r="E152" s="31"/>
      <c r="F152" s="31"/>
      <c r="G152" s="31"/>
      <c r="H152" s="31"/>
      <c r="I152" s="31"/>
      <c r="J152" s="31"/>
      <c r="K152" s="31"/>
      <c r="L152" s="31"/>
    </row>
    <row r="153" spans="1:12" ht="13.5" customHeight="1" x14ac:dyDescent="0.15">
      <c r="A153" s="31"/>
      <c r="B153" s="31"/>
      <c r="C153" s="31"/>
      <c r="D153" s="31"/>
      <c r="E153" s="31"/>
      <c r="F153" s="31"/>
      <c r="G153" s="31"/>
      <c r="H153" s="31"/>
      <c r="I153" s="31"/>
      <c r="J153" s="31"/>
      <c r="K153" s="31"/>
      <c r="L153" s="31"/>
    </row>
    <row r="154" spans="1:12" ht="13.5" customHeight="1" x14ac:dyDescent="0.15">
      <c r="A154" s="31"/>
      <c r="B154" s="31"/>
      <c r="C154" s="31"/>
      <c r="D154" s="31"/>
      <c r="E154" s="31"/>
      <c r="F154" s="31"/>
      <c r="G154" s="31"/>
      <c r="H154" s="31"/>
      <c r="I154" s="31"/>
      <c r="J154" s="31"/>
      <c r="K154" s="31"/>
      <c r="L154" s="31"/>
    </row>
    <row r="155" spans="1:12" ht="13.5" customHeight="1" x14ac:dyDescent="0.15">
      <c r="A155" s="31"/>
      <c r="B155" s="31"/>
      <c r="C155" s="31"/>
      <c r="D155" s="31"/>
      <c r="E155" s="31"/>
      <c r="F155" s="31"/>
      <c r="G155" s="31"/>
      <c r="H155" s="31"/>
      <c r="I155" s="31"/>
      <c r="J155" s="31"/>
      <c r="K155" s="31"/>
      <c r="L155" s="31"/>
    </row>
    <row r="156" spans="1:12" ht="13.5" customHeight="1" x14ac:dyDescent="0.15">
      <c r="A156" s="31"/>
      <c r="B156" s="31"/>
      <c r="C156" s="31"/>
      <c r="D156" s="31"/>
      <c r="E156" s="31"/>
      <c r="F156" s="31"/>
      <c r="G156" s="31"/>
      <c r="H156" s="31"/>
      <c r="I156" s="31"/>
      <c r="J156" s="31"/>
      <c r="K156" s="31"/>
      <c r="L156" s="31"/>
    </row>
    <row r="157" spans="1:12" ht="13.5" customHeight="1" x14ac:dyDescent="0.15">
      <c r="A157" s="31"/>
      <c r="B157" s="31"/>
      <c r="C157" s="31"/>
      <c r="D157" s="31"/>
      <c r="E157" s="31"/>
      <c r="F157" s="31"/>
      <c r="G157" s="31"/>
      <c r="H157" s="31"/>
      <c r="I157" s="31"/>
      <c r="J157" s="31"/>
      <c r="K157" s="31"/>
      <c r="L157" s="31"/>
    </row>
    <row r="158" spans="1:12" ht="13.5" customHeight="1" x14ac:dyDescent="0.15">
      <c r="A158" s="31"/>
      <c r="B158" s="31"/>
      <c r="C158" s="31"/>
      <c r="D158" s="31"/>
      <c r="E158" s="31"/>
      <c r="F158" s="31"/>
      <c r="G158" s="31"/>
      <c r="H158" s="31"/>
      <c r="I158" s="31"/>
      <c r="J158" s="31"/>
      <c r="K158" s="31"/>
      <c r="L158" s="31"/>
    </row>
    <row r="159" spans="1:12" ht="13.5" customHeight="1" x14ac:dyDescent="0.15">
      <c r="A159" s="31"/>
      <c r="B159" s="31"/>
      <c r="C159" s="31"/>
      <c r="D159" s="31"/>
      <c r="E159" s="31"/>
      <c r="F159" s="31"/>
      <c r="G159" s="31"/>
      <c r="H159" s="31"/>
      <c r="I159" s="31"/>
      <c r="J159" s="31"/>
      <c r="K159" s="31"/>
      <c r="L159" s="31"/>
    </row>
    <row r="160" spans="1:12" ht="13.5" customHeight="1" x14ac:dyDescent="0.15">
      <c r="A160" s="31"/>
      <c r="B160" s="31"/>
      <c r="C160" s="31"/>
      <c r="D160" s="31"/>
      <c r="E160" s="31"/>
      <c r="F160" s="31"/>
      <c r="G160" s="31"/>
      <c r="H160" s="31"/>
      <c r="I160" s="31"/>
      <c r="J160" s="31"/>
      <c r="K160" s="31"/>
      <c r="L160" s="31"/>
    </row>
    <row r="161" spans="1:12" ht="13.5" customHeight="1" x14ac:dyDescent="0.15">
      <c r="A161" s="31"/>
      <c r="B161" s="31"/>
      <c r="C161" s="31"/>
      <c r="D161" s="31"/>
      <c r="E161" s="31"/>
      <c r="F161" s="31"/>
      <c r="G161" s="31"/>
      <c r="H161" s="31"/>
      <c r="I161" s="31"/>
      <c r="J161" s="31"/>
      <c r="K161" s="31"/>
      <c r="L161" s="31"/>
    </row>
    <row r="162" spans="1:12" ht="13.5" customHeight="1" x14ac:dyDescent="0.15">
      <c r="A162" s="31"/>
      <c r="B162" s="31"/>
      <c r="C162" s="31"/>
      <c r="D162" s="31"/>
      <c r="E162" s="31"/>
      <c r="F162" s="31"/>
      <c r="G162" s="31"/>
      <c r="H162" s="31"/>
      <c r="I162" s="31"/>
      <c r="J162" s="31"/>
      <c r="K162" s="31"/>
      <c r="L162" s="31"/>
    </row>
    <row r="163" spans="1:12" ht="13.5" customHeight="1" x14ac:dyDescent="0.15">
      <c r="A163" s="31"/>
      <c r="B163" s="31"/>
      <c r="C163" s="31"/>
      <c r="D163" s="31"/>
      <c r="E163" s="31"/>
      <c r="F163" s="31"/>
      <c r="G163" s="31"/>
      <c r="H163" s="31"/>
      <c r="I163" s="31"/>
      <c r="J163" s="31"/>
      <c r="K163" s="31"/>
      <c r="L163" s="31"/>
    </row>
    <row r="164" spans="1:12" ht="13.5" customHeight="1" x14ac:dyDescent="0.15">
      <c r="A164" s="31"/>
      <c r="B164" s="31"/>
      <c r="C164" s="31"/>
      <c r="D164" s="31"/>
      <c r="E164" s="31"/>
      <c r="F164" s="31"/>
      <c r="G164" s="31"/>
      <c r="H164" s="31"/>
      <c r="I164" s="31"/>
      <c r="J164" s="31"/>
      <c r="K164" s="31"/>
      <c r="L164" s="31"/>
    </row>
    <row r="165" spans="1:12" ht="13.5" customHeight="1" x14ac:dyDescent="0.15">
      <c r="A165" s="31"/>
      <c r="B165" s="31"/>
      <c r="C165" s="31"/>
      <c r="D165" s="31"/>
      <c r="E165" s="31"/>
      <c r="F165" s="31"/>
      <c r="G165" s="31"/>
      <c r="H165" s="31"/>
      <c r="I165" s="31"/>
      <c r="J165" s="31"/>
      <c r="K165" s="31"/>
      <c r="L165" s="31"/>
    </row>
    <row r="166" spans="1:12" ht="13.5" customHeight="1" x14ac:dyDescent="0.15">
      <c r="A166" s="31"/>
      <c r="B166" s="31"/>
      <c r="C166" s="31"/>
      <c r="D166" s="31"/>
      <c r="E166" s="31"/>
      <c r="F166" s="31"/>
      <c r="G166" s="31"/>
      <c r="H166" s="31"/>
      <c r="I166" s="31"/>
      <c r="J166" s="31"/>
      <c r="K166" s="31"/>
      <c r="L166" s="31"/>
    </row>
    <row r="167" spans="1:12" ht="13.5" customHeight="1" x14ac:dyDescent="0.15">
      <c r="A167" s="31"/>
      <c r="B167" s="31"/>
      <c r="C167" s="31"/>
      <c r="D167" s="31"/>
      <c r="E167" s="31"/>
      <c r="F167" s="31"/>
      <c r="G167" s="31"/>
      <c r="H167" s="31"/>
      <c r="I167" s="31"/>
      <c r="J167" s="31"/>
      <c r="K167" s="31"/>
      <c r="L167" s="31"/>
    </row>
    <row r="168" spans="1:12" ht="13.5" customHeight="1" x14ac:dyDescent="0.15">
      <c r="A168" s="31"/>
      <c r="B168" s="31"/>
      <c r="C168" s="31"/>
      <c r="D168" s="31"/>
      <c r="E168" s="31"/>
      <c r="F168" s="31"/>
      <c r="G168" s="31"/>
      <c r="H168" s="31"/>
      <c r="I168" s="31"/>
      <c r="J168" s="31"/>
      <c r="K168" s="31"/>
      <c r="L168" s="31"/>
    </row>
    <row r="169" spans="1:12" ht="13.5" customHeight="1" x14ac:dyDescent="0.15">
      <c r="A169" s="31"/>
      <c r="B169" s="31"/>
      <c r="C169" s="31"/>
      <c r="D169" s="31"/>
      <c r="E169" s="31"/>
      <c r="F169" s="31"/>
      <c r="G169" s="31"/>
      <c r="H169" s="31"/>
      <c r="I169" s="31"/>
      <c r="J169" s="31"/>
      <c r="K169" s="31"/>
      <c r="L169" s="31"/>
    </row>
    <row r="170" spans="1:12" ht="13.5" customHeight="1" x14ac:dyDescent="0.15">
      <c r="A170" s="31"/>
      <c r="B170" s="31"/>
      <c r="C170" s="31"/>
      <c r="D170" s="31"/>
      <c r="E170" s="31"/>
      <c r="F170" s="31"/>
      <c r="G170" s="31"/>
      <c r="H170" s="31"/>
      <c r="I170" s="31"/>
      <c r="J170" s="31"/>
      <c r="K170" s="31"/>
      <c r="L170" s="31"/>
    </row>
    <row r="171" spans="1:12" ht="13.5" customHeight="1" x14ac:dyDescent="0.15">
      <c r="A171" s="31"/>
      <c r="B171" s="31"/>
      <c r="C171" s="31"/>
      <c r="D171" s="31"/>
      <c r="E171" s="31"/>
      <c r="F171" s="31"/>
      <c r="G171" s="31"/>
      <c r="H171" s="31"/>
      <c r="I171" s="31"/>
      <c r="J171" s="31"/>
      <c r="K171" s="31"/>
      <c r="L171" s="31"/>
    </row>
    <row r="172" spans="1:12" ht="13.5" customHeight="1" x14ac:dyDescent="0.15">
      <c r="A172" s="31"/>
      <c r="B172" s="31"/>
      <c r="C172" s="31"/>
      <c r="D172" s="31"/>
      <c r="E172" s="31"/>
      <c r="F172" s="31"/>
      <c r="G172" s="31"/>
      <c r="H172" s="31"/>
      <c r="I172" s="31"/>
      <c r="J172" s="31"/>
      <c r="K172" s="31"/>
      <c r="L172" s="31"/>
    </row>
    <row r="173" spans="1:12" ht="13.5" customHeight="1" x14ac:dyDescent="0.15">
      <c r="A173" s="31"/>
      <c r="B173" s="31"/>
      <c r="C173" s="31"/>
      <c r="D173" s="31"/>
      <c r="E173" s="31"/>
      <c r="F173" s="31"/>
      <c r="G173" s="31"/>
      <c r="H173" s="31"/>
      <c r="I173" s="31"/>
      <c r="J173" s="31"/>
      <c r="K173" s="31"/>
      <c r="L173" s="31"/>
    </row>
    <row r="174" spans="1:12" ht="13.5" customHeight="1" x14ac:dyDescent="0.15">
      <c r="A174" s="31"/>
      <c r="B174" s="31"/>
      <c r="C174" s="31"/>
      <c r="D174" s="31"/>
      <c r="E174" s="31"/>
      <c r="F174" s="31"/>
      <c r="G174" s="31"/>
      <c r="H174" s="31"/>
      <c r="I174" s="31"/>
      <c r="J174" s="31"/>
      <c r="K174" s="31"/>
      <c r="L174" s="31"/>
    </row>
    <row r="175" spans="1:12" ht="13.5" customHeight="1" x14ac:dyDescent="0.15">
      <c r="A175" s="31"/>
      <c r="B175" s="31"/>
      <c r="C175" s="31"/>
      <c r="D175" s="31"/>
      <c r="E175" s="31"/>
      <c r="F175" s="31"/>
      <c r="G175" s="31"/>
      <c r="H175" s="31"/>
      <c r="I175" s="31"/>
      <c r="J175" s="31"/>
      <c r="K175" s="31"/>
      <c r="L175" s="31"/>
    </row>
    <row r="176" spans="1:12" ht="13.5" customHeight="1" x14ac:dyDescent="0.15">
      <c r="A176" s="31"/>
      <c r="B176" s="31"/>
      <c r="C176" s="31"/>
      <c r="D176" s="31"/>
      <c r="E176" s="31"/>
      <c r="F176" s="31"/>
      <c r="G176" s="31"/>
      <c r="H176" s="31"/>
      <c r="I176" s="31"/>
      <c r="J176" s="31"/>
      <c r="K176" s="31"/>
      <c r="L176" s="31"/>
    </row>
    <row r="177" spans="1:12" ht="13.5" customHeight="1" x14ac:dyDescent="0.15">
      <c r="A177" s="31"/>
      <c r="B177" s="31"/>
      <c r="C177" s="31"/>
      <c r="D177" s="31"/>
      <c r="E177" s="31"/>
      <c r="F177" s="31"/>
      <c r="G177" s="31"/>
      <c r="H177" s="31"/>
      <c r="I177" s="31"/>
      <c r="J177" s="31"/>
      <c r="K177" s="31"/>
      <c r="L177" s="31"/>
    </row>
    <row r="178" spans="1:12" ht="13.5" customHeight="1" x14ac:dyDescent="0.15">
      <c r="A178" s="31"/>
      <c r="B178" s="31"/>
      <c r="C178" s="31"/>
      <c r="D178" s="31"/>
      <c r="E178" s="31"/>
      <c r="F178" s="31"/>
      <c r="G178" s="31"/>
      <c r="H178" s="31"/>
      <c r="I178" s="31"/>
      <c r="J178" s="31"/>
      <c r="K178" s="31"/>
      <c r="L178" s="31"/>
    </row>
    <row r="179" spans="1:12" ht="13.5" customHeight="1" x14ac:dyDescent="0.15">
      <c r="A179" s="31"/>
      <c r="B179" s="31"/>
      <c r="C179" s="31"/>
      <c r="D179" s="31"/>
      <c r="E179" s="31"/>
      <c r="F179" s="31"/>
      <c r="G179" s="31"/>
      <c r="H179" s="31"/>
      <c r="I179" s="31"/>
      <c r="J179" s="31"/>
      <c r="K179" s="31"/>
      <c r="L179" s="31"/>
    </row>
    <row r="180" spans="1:12" ht="13.5" customHeight="1" x14ac:dyDescent="0.15">
      <c r="A180" s="31"/>
      <c r="B180" s="31"/>
      <c r="C180" s="31"/>
      <c r="D180" s="31"/>
      <c r="E180" s="31"/>
      <c r="F180" s="31"/>
      <c r="G180" s="31"/>
      <c r="H180" s="31"/>
      <c r="I180" s="31"/>
      <c r="J180" s="31"/>
      <c r="K180" s="31"/>
      <c r="L180" s="31"/>
    </row>
    <row r="181" spans="1:12" ht="13.5" customHeight="1" x14ac:dyDescent="0.15">
      <c r="A181" s="31"/>
      <c r="B181" s="31"/>
      <c r="C181" s="31"/>
      <c r="D181" s="31"/>
      <c r="E181" s="31"/>
      <c r="F181" s="31"/>
      <c r="G181" s="31"/>
      <c r="H181" s="31"/>
      <c r="I181" s="31"/>
      <c r="J181" s="31"/>
      <c r="K181" s="31"/>
      <c r="L181" s="31"/>
    </row>
    <row r="182" spans="1:12" ht="13.5" customHeight="1" x14ac:dyDescent="0.15">
      <c r="A182" s="31"/>
      <c r="B182" s="31"/>
      <c r="C182" s="31"/>
      <c r="D182" s="31"/>
      <c r="E182" s="31"/>
      <c r="F182" s="31"/>
      <c r="G182" s="31"/>
      <c r="H182" s="31"/>
      <c r="I182" s="31"/>
      <c r="J182" s="31"/>
      <c r="K182" s="31"/>
      <c r="L182" s="31"/>
    </row>
    <row r="183" spans="1:12" ht="13.5" customHeight="1" x14ac:dyDescent="0.15">
      <c r="A183" s="31"/>
      <c r="B183" s="31"/>
      <c r="C183" s="31"/>
      <c r="D183" s="31"/>
      <c r="E183" s="31"/>
      <c r="F183" s="31"/>
      <c r="G183" s="31"/>
      <c r="H183" s="31"/>
      <c r="I183" s="31"/>
      <c r="J183" s="31"/>
      <c r="K183" s="31"/>
      <c r="L183" s="31"/>
    </row>
    <row r="184" spans="1:12" ht="13.5" customHeight="1" x14ac:dyDescent="0.15">
      <c r="A184" s="31"/>
      <c r="B184" s="31"/>
      <c r="C184" s="31"/>
      <c r="D184" s="31"/>
      <c r="E184" s="31"/>
      <c r="F184" s="31"/>
      <c r="G184" s="31"/>
      <c r="H184" s="31"/>
      <c r="I184" s="31"/>
      <c r="J184" s="31"/>
      <c r="K184" s="31"/>
      <c r="L184" s="31"/>
    </row>
    <row r="185" spans="1:12" ht="13.5" customHeight="1" x14ac:dyDescent="0.15">
      <c r="A185" s="31"/>
      <c r="B185" s="31"/>
      <c r="C185" s="31"/>
      <c r="D185" s="31"/>
      <c r="E185" s="31"/>
      <c r="F185" s="31"/>
      <c r="G185" s="31"/>
      <c r="H185" s="31"/>
      <c r="I185" s="31"/>
      <c r="J185" s="31"/>
      <c r="K185" s="31"/>
      <c r="L185" s="31"/>
    </row>
    <row r="186" spans="1:12" ht="13.5" customHeight="1" x14ac:dyDescent="0.15">
      <c r="A186" s="31"/>
      <c r="B186" s="31"/>
      <c r="C186" s="31"/>
      <c r="D186" s="31"/>
      <c r="E186" s="31"/>
      <c r="F186" s="31"/>
      <c r="G186" s="31"/>
      <c r="H186" s="31"/>
      <c r="I186" s="31"/>
      <c r="J186" s="31"/>
      <c r="K186" s="31"/>
      <c r="L186" s="31"/>
    </row>
    <row r="187" spans="1:12" ht="13.5" customHeight="1" x14ac:dyDescent="0.15">
      <c r="A187" s="31"/>
      <c r="B187" s="31"/>
      <c r="C187" s="31"/>
      <c r="D187" s="31"/>
      <c r="E187" s="31"/>
      <c r="F187" s="31"/>
      <c r="G187" s="31"/>
      <c r="H187" s="31"/>
      <c r="I187" s="31"/>
      <c r="J187" s="31"/>
      <c r="K187" s="31"/>
      <c r="L187" s="31"/>
    </row>
    <row r="188" spans="1:12" ht="13.5" customHeight="1" x14ac:dyDescent="0.15">
      <c r="A188" s="31"/>
      <c r="B188" s="31"/>
      <c r="C188" s="31"/>
      <c r="D188" s="31"/>
      <c r="E188" s="31"/>
      <c r="F188" s="31"/>
      <c r="G188" s="31"/>
      <c r="H188" s="31"/>
      <c r="I188" s="31"/>
      <c r="J188" s="31"/>
      <c r="K188" s="31"/>
      <c r="L188" s="31"/>
    </row>
    <row r="189" spans="1:12" ht="13.5" customHeight="1" x14ac:dyDescent="0.15">
      <c r="A189" s="31"/>
      <c r="B189" s="31"/>
      <c r="C189" s="31"/>
      <c r="D189" s="31"/>
      <c r="E189" s="31"/>
      <c r="F189" s="31"/>
      <c r="G189" s="31"/>
      <c r="H189" s="31"/>
      <c r="I189" s="31"/>
      <c r="J189" s="31"/>
      <c r="K189" s="31"/>
      <c r="L189" s="31"/>
    </row>
    <row r="190" spans="1:12" ht="13.5" customHeight="1" x14ac:dyDescent="0.15">
      <c r="A190" s="31"/>
      <c r="B190" s="31"/>
      <c r="C190" s="31"/>
      <c r="D190" s="31"/>
      <c r="E190" s="31"/>
      <c r="F190" s="31"/>
      <c r="G190" s="31"/>
      <c r="H190" s="31"/>
      <c r="I190" s="31"/>
      <c r="J190" s="31"/>
      <c r="K190" s="31"/>
      <c r="L190" s="31"/>
    </row>
    <row r="191" spans="1:12" ht="13.5" customHeight="1" x14ac:dyDescent="0.15">
      <c r="A191" s="31"/>
      <c r="B191" s="31"/>
      <c r="C191" s="31"/>
      <c r="D191" s="31"/>
      <c r="E191" s="31"/>
      <c r="F191" s="31"/>
      <c r="G191" s="31"/>
      <c r="H191" s="31"/>
      <c r="I191" s="31"/>
      <c r="J191" s="31"/>
      <c r="K191" s="31"/>
      <c r="L191" s="31"/>
    </row>
    <row r="192" spans="1:12" ht="13.5" customHeight="1" x14ac:dyDescent="0.15">
      <c r="A192" s="31"/>
      <c r="B192" s="31"/>
      <c r="C192" s="31"/>
      <c r="D192" s="31"/>
      <c r="E192" s="31"/>
      <c r="F192" s="31"/>
      <c r="G192" s="31"/>
      <c r="H192" s="31"/>
      <c r="I192" s="31"/>
      <c r="J192" s="31"/>
      <c r="K192" s="31"/>
      <c r="L192" s="31"/>
    </row>
    <row r="193" spans="1:12" ht="13.5" customHeight="1" x14ac:dyDescent="0.15">
      <c r="A193" s="31"/>
      <c r="B193" s="31"/>
      <c r="C193" s="31"/>
      <c r="D193" s="31"/>
      <c r="E193" s="31"/>
      <c r="F193" s="31"/>
      <c r="G193" s="31"/>
      <c r="H193" s="31"/>
      <c r="I193" s="31"/>
      <c r="J193" s="31"/>
      <c r="K193" s="31"/>
      <c r="L193" s="31"/>
    </row>
    <row r="194" spans="1:12" ht="13.5" customHeight="1" x14ac:dyDescent="0.15">
      <c r="A194" s="31"/>
      <c r="B194" s="31"/>
      <c r="C194" s="31"/>
      <c r="D194" s="31"/>
      <c r="E194" s="31"/>
      <c r="F194" s="31"/>
      <c r="G194" s="31"/>
      <c r="H194" s="31"/>
      <c r="I194" s="31"/>
      <c r="J194" s="31"/>
      <c r="K194" s="31"/>
      <c r="L194" s="31"/>
    </row>
    <row r="195" spans="1:12" ht="13.5" customHeight="1" x14ac:dyDescent="0.15">
      <c r="A195" s="31"/>
      <c r="B195" s="31"/>
      <c r="C195" s="31"/>
      <c r="D195" s="31"/>
      <c r="E195" s="31"/>
      <c r="F195" s="31"/>
      <c r="G195" s="31"/>
      <c r="H195" s="31"/>
      <c r="I195" s="31"/>
      <c r="J195" s="31"/>
      <c r="K195" s="31"/>
      <c r="L195" s="31"/>
    </row>
    <row r="196" spans="1:12" ht="13.5" customHeight="1" x14ac:dyDescent="0.15">
      <c r="A196" s="31"/>
      <c r="B196" s="31"/>
      <c r="C196" s="31"/>
      <c r="D196" s="31"/>
      <c r="E196" s="31"/>
      <c r="F196" s="31"/>
      <c r="G196" s="31"/>
      <c r="H196" s="31"/>
      <c r="I196" s="31"/>
      <c r="J196" s="31"/>
      <c r="K196" s="31"/>
      <c r="L196" s="31"/>
    </row>
    <row r="197" spans="1:12" ht="13.5" customHeight="1" x14ac:dyDescent="0.15">
      <c r="A197" s="31"/>
      <c r="B197" s="31"/>
      <c r="C197" s="31"/>
      <c r="D197" s="31"/>
      <c r="E197" s="31"/>
      <c r="F197" s="31"/>
      <c r="G197" s="31"/>
      <c r="H197" s="31"/>
      <c r="I197" s="31"/>
      <c r="J197" s="31"/>
      <c r="K197" s="31"/>
      <c r="L197" s="31"/>
    </row>
    <row r="198" spans="1:12" ht="13.5" customHeight="1" x14ac:dyDescent="0.15">
      <c r="A198" s="31"/>
      <c r="B198" s="31"/>
      <c r="C198" s="31"/>
      <c r="D198" s="31"/>
      <c r="E198" s="31"/>
      <c r="F198" s="31"/>
      <c r="G198" s="31"/>
      <c r="H198" s="31"/>
      <c r="I198" s="31"/>
      <c r="J198" s="31"/>
      <c r="K198" s="31"/>
      <c r="L198" s="31"/>
    </row>
    <row r="199" spans="1:12" ht="13.5" customHeight="1" x14ac:dyDescent="0.15">
      <c r="A199" s="31"/>
      <c r="B199" s="31"/>
      <c r="C199" s="31"/>
      <c r="D199" s="31"/>
      <c r="E199" s="31"/>
      <c r="F199" s="31"/>
      <c r="G199" s="31"/>
      <c r="H199" s="31"/>
      <c r="I199" s="31"/>
      <c r="J199" s="31"/>
      <c r="K199" s="31"/>
      <c r="L199" s="31"/>
    </row>
    <row r="200" spans="1:12" ht="13.5" customHeight="1" x14ac:dyDescent="0.15">
      <c r="A200" s="31"/>
      <c r="B200" s="31"/>
      <c r="C200" s="31"/>
      <c r="D200" s="31"/>
      <c r="E200" s="31"/>
      <c r="F200" s="31"/>
      <c r="G200" s="31"/>
      <c r="H200" s="31"/>
      <c r="I200" s="31"/>
      <c r="J200" s="31"/>
      <c r="K200" s="31"/>
      <c r="L200" s="31"/>
    </row>
    <row r="201" spans="1:12" ht="13.5" customHeight="1" x14ac:dyDescent="0.15">
      <c r="A201" s="31"/>
      <c r="B201" s="31"/>
      <c r="C201" s="31"/>
      <c r="D201" s="31"/>
      <c r="E201" s="31"/>
      <c r="F201" s="31"/>
      <c r="G201" s="31"/>
      <c r="H201" s="31"/>
      <c r="I201" s="31"/>
      <c r="J201" s="31"/>
      <c r="K201" s="31"/>
      <c r="L201" s="31"/>
    </row>
    <row r="202" spans="1:12" ht="13.5" customHeight="1" x14ac:dyDescent="0.15">
      <c r="A202" s="31"/>
      <c r="B202" s="31"/>
      <c r="C202" s="31"/>
      <c r="D202" s="31"/>
      <c r="E202" s="31"/>
      <c r="F202" s="31"/>
      <c r="G202" s="31"/>
      <c r="H202" s="31"/>
      <c r="I202" s="31"/>
      <c r="J202" s="31"/>
      <c r="K202" s="31"/>
      <c r="L202" s="31"/>
    </row>
    <row r="203" spans="1:12" ht="13.5" customHeight="1" x14ac:dyDescent="0.15">
      <c r="A203" s="31"/>
      <c r="B203" s="31"/>
      <c r="C203" s="31"/>
      <c r="D203" s="31"/>
      <c r="E203" s="31"/>
      <c r="F203" s="31"/>
      <c r="G203" s="31"/>
      <c r="H203" s="31"/>
      <c r="I203" s="31"/>
      <c r="J203" s="31"/>
      <c r="K203" s="31"/>
      <c r="L203" s="31"/>
    </row>
    <row r="204" spans="1:12" ht="13.5" customHeight="1" x14ac:dyDescent="0.15">
      <c r="A204" s="31"/>
      <c r="B204" s="31"/>
      <c r="C204" s="31"/>
      <c r="D204" s="31"/>
      <c r="E204" s="31"/>
      <c r="F204" s="31"/>
      <c r="G204" s="31"/>
      <c r="H204" s="31"/>
      <c r="I204" s="31"/>
      <c r="J204" s="31"/>
      <c r="K204" s="31"/>
      <c r="L204" s="31"/>
    </row>
    <row r="205" spans="1:12" ht="13.5" customHeight="1" x14ac:dyDescent="0.15">
      <c r="A205" s="31"/>
      <c r="B205" s="31"/>
      <c r="C205" s="31"/>
      <c r="D205" s="31"/>
      <c r="E205" s="31"/>
      <c r="F205" s="31"/>
      <c r="G205" s="31"/>
      <c r="H205" s="31"/>
      <c r="I205" s="31"/>
      <c r="J205" s="31"/>
      <c r="K205" s="31"/>
      <c r="L205" s="31"/>
    </row>
    <row r="206" spans="1:12" ht="13.5" customHeight="1" x14ac:dyDescent="0.15">
      <c r="A206" s="31"/>
      <c r="B206" s="31"/>
      <c r="C206" s="31"/>
      <c r="D206" s="31"/>
      <c r="E206" s="31"/>
      <c r="F206" s="31"/>
      <c r="G206" s="31"/>
      <c r="H206" s="31"/>
      <c r="I206" s="31"/>
      <c r="J206" s="31"/>
      <c r="K206" s="31"/>
      <c r="L206" s="31"/>
    </row>
    <row r="207" spans="1:12" ht="13.5" customHeight="1" x14ac:dyDescent="0.15">
      <c r="A207" s="31"/>
      <c r="B207" s="31"/>
      <c r="C207" s="31"/>
      <c r="D207" s="31"/>
      <c r="E207" s="31"/>
      <c r="F207" s="31"/>
      <c r="G207" s="31"/>
      <c r="H207" s="31"/>
      <c r="I207" s="31"/>
      <c r="J207" s="31"/>
      <c r="K207" s="31"/>
      <c r="L207" s="31"/>
    </row>
    <row r="208" spans="1:12" ht="13.5" customHeight="1" x14ac:dyDescent="0.15">
      <c r="A208" s="31"/>
      <c r="B208" s="31"/>
      <c r="C208" s="31"/>
      <c r="D208" s="31"/>
      <c r="E208" s="31"/>
      <c r="F208" s="31"/>
      <c r="G208" s="31"/>
      <c r="H208" s="31"/>
      <c r="I208" s="31"/>
      <c r="J208" s="31"/>
      <c r="K208" s="31"/>
      <c r="L208" s="31"/>
    </row>
    <row r="209" spans="1:12" ht="13.5" customHeight="1" x14ac:dyDescent="0.15">
      <c r="A209" s="31"/>
      <c r="B209" s="31"/>
      <c r="C209" s="31"/>
      <c r="D209" s="31"/>
      <c r="E209" s="31"/>
      <c r="F209" s="31"/>
      <c r="G209" s="31"/>
      <c r="H209" s="31"/>
      <c r="I209" s="31"/>
      <c r="J209" s="31"/>
      <c r="K209" s="31"/>
      <c r="L209" s="31"/>
    </row>
    <row r="210" spans="1:12" ht="13.5" customHeight="1" x14ac:dyDescent="0.15">
      <c r="A210" s="31"/>
      <c r="B210" s="31"/>
      <c r="C210" s="31"/>
      <c r="D210" s="31"/>
      <c r="E210" s="31"/>
      <c r="F210" s="31"/>
      <c r="G210" s="31"/>
      <c r="H210" s="31"/>
      <c r="I210" s="31"/>
      <c r="J210" s="31"/>
      <c r="K210" s="31"/>
      <c r="L210" s="31"/>
    </row>
    <row r="211" spans="1:12" ht="13.5" customHeight="1" x14ac:dyDescent="0.15">
      <c r="A211" s="31"/>
      <c r="B211" s="31"/>
      <c r="C211" s="31"/>
      <c r="D211" s="31"/>
      <c r="E211" s="31"/>
      <c r="F211" s="31"/>
      <c r="G211" s="31"/>
      <c r="H211" s="31"/>
      <c r="I211" s="31"/>
      <c r="J211" s="31"/>
      <c r="K211" s="31"/>
      <c r="L211" s="31"/>
    </row>
    <row r="212" spans="1:12" ht="13.5" customHeight="1" x14ac:dyDescent="0.15">
      <c r="A212" s="31"/>
      <c r="B212" s="31"/>
      <c r="C212" s="31"/>
      <c r="D212" s="31"/>
      <c r="E212" s="31"/>
      <c r="F212" s="31"/>
      <c r="G212" s="31"/>
      <c r="H212" s="31"/>
      <c r="I212" s="31"/>
      <c r="J212" s="31"/>
      <c r="K212" s="31"/>
      <c r="L212" s="31"/>
    </row>
    <row r="213" spans="1:12" ht="13.5" customHeight="1" x14ac:dyDescent="0.15">
      <c r="A213" s="31"/>
      <c r="B213" s="31"/>
      <c r="C213" s="31"/>
      <c r="D213" s="31"/>
      <c r="E213" s="31"/>
      <c r="F213" s="31"/>
      <c r="G213" s="31"/>
      <c r="H213" s="31"/>
      <c r="I213" s="31"/>
      <c r="J213" s="31"/>
      <c r="K213" s="31"/>
      <c r="L213" s="31"/>
    </row>
    <row r="214" spans="1:12" ht="13.5" customHeight="1" x14ac:dyDescent="0.15">
      <c r="A214" s="31"/>
      <c r="B214" s="31"/>
      <c r="C214" s="31"/>
      <c r="D214" s="31"/>
      <c r="E214" s="31"/>
      <c r="F214" s="31"/>
      <c r="G214" s="31"/>
      <c r="H214" s="31"/>
      <c r="I214" s="31"/>
      <c r="J214" s="31"/>
      <c r="K214" s="31"/>
      <c r="L214" s="31"/>
    </row>
    <row r="215" spans="1:12" ht="13.5" customHeight="1" x14ac:dyDescent="0.15">
      <c r="A215" s="31"/>
      <c r="B215" s="31"/>
      <c r="C215" s="31"/>
      <c r="D215" s="31"/>
      <c r="E215" s="31"/>
      <c r="F215" s="31"/>
      <c r="G215" s="31"/>
      <c r="H215" s="31"/>
      <c r="I215" s="31"/>
      <c r="J215" s="31"/>
      <c r="K215" s="31"/>
      <c r="L215" s="31"/>
    </row>
    <row r="216" spans="1:12" ht="13.5" customHeight="1" x14ac:dyDescent="0.15">
      <c r="A216" s="31"/>
      <c r="B216" s="31"/>
      <c r="C216" s="31"/>
      <c r="D216" s="31"/>
      <c r="E216" s="31"/>
      <c r="F216" s="31"/>
      <c r="G216" s="31"/>
      <c r="H216" s="31"/>
      <c r="I216" s="31"/>
      <c r="J216" s="31"/>
      <c r="K216" s="31"/>
      <c r="L216" s="31"/>
    </row>
    <row r="217" spans="1:12" ht="13.5" customHeight="1" x14ac:dyDescent="0.15">
      <c r="A217" s="31"/>
      <c r="B217" s="31"/>
      <c r="C217" s="31"/>
      <c r="D217" s="31"/>
      <c r="E217" s="31"/>
      <c r="F217" s="31"/>
      <c r="G217" s="31"/>
      <c r="H217" s="31"/>
      <c r="I217" s="31"/>
      <c r="J217" s="31"/>
      <c r="K217" s="31"/>
      <c r="L217" s="31"/>
    </row>
    <row r="218" spans="1:12" ht="13.5" customHeight="1" x14ac:dyDescent="0.15">
      <c r="A218" s="31"/>
      <c r="B218" s="31"/>
      <c r="C218" s="31"/>
      <c r="D218" s="31"/>
      <c r="E218" s="31"/>
      <c r="F218" s="31"/>
      <c r="G218" s="31"/>
      <c r="H218" s="31"/>
      <c r="I218" s="31"/>
      <c r="J218" s="31"/>
      <c r="K218" s="31"/>
      <c r="L218" s="31"/>
    </row>
    <row r="219" spans="1:12" ht="13.5" customHeight="1" x14ac:dyDescent="0.15">
      <c r="A219" s="31"/>
      <c r="B219" s="31"/>
      <c r="C219" s="31"/>
      <c r="D219" s="31"/>
      <c r="E219" s="31"/>
      <c r="F219" s="31"/>
      <c r="G219" s="31"/>
      <c r="H219" s="31"/>
      <c r="I219" s="31"/>
      <c r="J219" s="31"/>
      <c r="K219" s="31"/>
      <c r="L219" s="31"/>
    </row>
    <row r="220" spans="1:12" ht="13.5" customHeight="1" x14ac:dyDescent="0.15">
      <c r="A220" s="31"/>
      <c r="B220" s="31"/>
      <c r="C220" s="31"/>
      <c r="D220" s="31"/>
      <c r="E220" s="31"/>
      <c r="F220" s="31"/>
      <c r="G220" s="31"/>
      <c r="H220" s="31"/>
      <c r="I220" s="31"/>
      <c r="J220" s="31"/>
      <c r="K220" s="31"/>
      <c r="L220" s="31"/>
    </row>
    <row r="221" spans="1:12" ht="13.5" customHeight="1" x14ac:dyDescent="0.15">
      <c r="A221" s="31"/>
      <c r="B221" s="31"/>
      <c r="C221" s="31"/>
      <c r="D221" s="31"/>
      <c r="E221" s="31"/>
      <c r="F221" s="31"/>
      <c r="G221" s="31"/>
      <c r="H221" s="31"/>
      <c r="I221" s="31"/>
      <c r="J221" s="31"/>
      <c r="K221" s="31"/>
      <c r="L221" s="31"/>
    </row>
    <row r="222" spans="1:12" ht="13.5" customHeight="1" x14ac:dyDescent="0.15">
      <c r="A222" s="31"/>
      <c r="B222" s="31"/>
      <c r="C222" s="31"/>
      <c r="D222" s="31"/>
      <c r="E222" s="31"/>
      <c r="F222" s="31"/>
      <c r="G222" s="31"/>
      <c r="H222" s="31"/>
      <c r="I222" s="31"/>
      <c r="J222" s="31"/>
      <c r="K222" s="31"/>
      <c r="L222" s="31"/>
    </row>
    <row r="223" spans="1:12" ht="13.5" customHeight="1" x14ac:dyDescent="0.15">
      <c r="A223" s="31"/>
      <c r="B223" s="31"/>
      <c r="C223" s="31"/>
      <c r="D223" s="31"/>
      <c r="E223" s="31"/>
      <c r="F223" s="31"/>
      <c r="G223" s="31"/>
      <c r="H223" s="31"/>
      <c r="I223" s="31"/>
      <c r="J223" s="31"/>
      <c r="K223" s="31"/>
      <c r="L223" s="31"/>
    </row>
    <row r="224" spans="1:12" ht="13.5" customHeight="1" x14ac:dyDescent="0.15">
      <c r="A224" s="31"/>
      <c r="B224" s="31"/>
      <c r="C224" s="31"/>
      <c r="D224" s="31"/>
      <c r="E224" s="31"/>
      <c r="F224" s="31"/>
      <c r="G224" s="31"/>
      <c r="H224" s="31"/>
      <c r="I224" s="31"/>
      <c r="J224" s="31"/>
      <c r="K224" s="31"/>
      <c r="L224" s="31"/>
    </row>
    <row r="225" spans="1:12" ht="13.5" customHeight="1" x14ac:dyDescent="0.15">
      <c r="A225" s="31"/>
      <c r="B225" s="31"/>
      <c r="C225" s="31"/>
      <c r="D225" s="31"/>
      <c r="E225" s="31"/>
      <c r="F225" s="31"/>
      <c r="G225" s="31"/>
      <c r="H225" s="31"/>
      <c r="I225" s="31"/>
      <c r="J225" s="31"/>
      <c r="K225" s="31"/>
      <c r="L225" s="31"/>
    </row>
    <row r="226" spans="1:12" ht="13.5" customHeight="1" x14ac:dyDescent="0.15">
      <c r="A226" s="31"/>
      <c r="B226" s="31"/>
      <c r="C226" s="31"/>
      <c r="D226" s="31"/>
      <c r="E226" s="31"/>
      <c r="F226" s="31"/>
      <c r="G226" s="31"/>
      <c r="H226" s="31"/>
      <c r="I226" s="31"/>
      <c r="J226" s="31"/>
      <c r="K226" s="31"/>
      <c r="L226" s="31"/>
    </row>
    <row r="227" spans="1:12" ht="13.5" customHeight="1" x14ac:dyDescent="0.15">
      <c r="A227" s="31"/>
      <c r="B227" s="31"/>
      <c r="C227" s="31"/>
      <c r="D227" s="31"/>
      <c r="E227" s="31"/>
      <c r="F227" s="31"/>
      <c r="G227" s="31"/>
      <c r="H227" s="31"/>
      <c r="I227" s="31"/>
      <c r="J227" s="31"/>
      <c r="K227" s="31"/>
      <c r="L227" s="31"/>
    </row>
    <row r="228" spans="1:12" ht="13.5" customHeight="1" x14ac:dyDescent="0.15">
      <c r="A228" s="31"/>
      <c r="B228" s="31"/>
      <c r="C228" s="31"/>
      <c r="D228" s="31"/>
      <c r="E228" s="31"/>
      <c r="F228" s="31"/>
      <c r="G228" s="31"/>
      <c r="H228" s="31"/>
      <c r="I228" s="31"/>
      <c r="J228" s="31"/>
      <c r="K228" s="31"/>
      <c r="L228" s="31"/>
    </row>
    <row r="229" spans="1:12" ht="13.5" customHeight="1" x14ac:dyDescent="0.15">
      <c r="A229" s="31"/>
      <c r="B229" s="31"/>
      <c r="C229" s="31"/>
      <c r="D229" s="31"/>
      <c r="E229" s="31"/>
      <c r="F229" s="31"/>
      <c r="G229" s="31"/>
      <c r="H229" s="31"/>
      <c r="I229" s="31"/>
      <c r="J229" s="31"/>
      <c r="K229" s="31"/>
      <c r="L229" s="31"/>
    </row>
    <row r="230" spans="1:12" ht="13.5" customHeight="1" x14ac:dyDescent="0.15">
      <c r="A230" s="31"/>
      <c r="B230" s="31"/>
      <c r="C230" s="31"/>
      <c r="D230" s="31"/>
      <c r="E230" s="31"/>
      <c r="F230" s="31"/>
      <c r="G230" s="31"/>
      <c r="H230" s="31"/>
      <c r="I230" s="31"/>
      <c r="J230" s="31"/>
      <c r="K230" s="31"/>
      <c r="L230" s="31"/>
    </row>
    <row r="231" spans="1:12" ht="13.5" customHeight="1" x14ac:dyDescent="0.15">
      <c r="A231" s="31"/>
      <c r="B231" s="31"/>
      <c r="C231" s="31"/>
      <c r="D231" s="31"/>
      <c r="E231" s="31"/>
      <c r="F231" s="31"/>
      <c r="G231" s="31"/>
      <c r="H231" s="31"/>
      <c r="I231" s="31"/>
      <c r="J231" s="31"/>
      <c r="K231" s="31"/>
      <c r="L231" s="31"/>
    </row>
    <row r="232" spans="1:12" ht="13.5" customHeight="1" x14ac:dyDescent="0.15">
      <c r="A232" s="31"/>
      <c r="B232" s="31"/>
      <c r="C232" s="31"/>
      <c r="D232" s="31"/>
      <c r="E232" s="31"/>
      <c r="F232" s="31"/>
      <c r="G232" s="31"/>
      <c r="H232" s="31"/>
      <c r="I232" s="31"/>
      <c r="J232" s="31"/>
      <c r="K232" s="31"/>
      <c r="L232" s="31"/>
    </row>
    <row r="233" spans="1:12" ht="13.5" customHeight="1" x14ac:dyDescent="0.15">
      <c r="A233" s="31"/>
      <c r="B233" s="31"/>
      <c r="C233" s="31"/>
      <c r="D233" s="31"/>
      <c r="E233" s="31"/>
      <c r="F233" s="31"/>
      <c r="G233" s="31"/>
      <c r="H233" s="31"/>
      <c r="I233" s="31"/>
      <c r="J233" s="31"/>
      <c r="K233" s="31"/>
      <c r="L233" s="31"/>
    </row>
    <row r="234" spans="1:12" ht="13.5" customHeight="1" x14ac:dyDescent="0.15">
      <c r="A234" s="31"/>
      <c r="B234" s="31"/>
      <c r="C234" s="31"/>
      <c r="D234" s="31"/>
      <c r="E234" s="31"/>
      <c r="F234" s="31"/>
      <c r="G234" s="31"/>
      <c r="H234" s="31"/>
      <c r="I234" s="31"/>
      <c r="J234" s="31"/>
      <c r="K234" s="31"/>
      <c r="L234" s="31"/>
    </row>
    <row r="235" spans="1:12" ht="13.5" customHeight="1" x14ac:dyDescent="0.15">
      <c r="A235" s="31"/>
      <c r="B235" s="31"/>
      <c r="C235" s="31"/>
      <c r="D235" s="31"/>
      <c r="E235" s="31"/>
      <c r="F235" s="31"/>
      <c r="G235" s="31"/>
      <c r="H235" s="31"/>
      <c r="I235" s="31"/>
      <c r="J235" s="31"/>
      <c r="K235" s="31"/>
      <c r="L235" s="31"/>
    </row>
    <row r="236" spans="1:12" ht="13.5" customHeight="1" x14ac:dyDescent="0.15">
      <c r="A236" s="31"/>
      <c r="B236" s="31"/>
      <c r="C236" s="31"/>
      <c r="D236" s="31"/>
      <c r="E236" s="31"/>
      <c r="F236" s="31"/>
      <c r="G236" s="31"/>
      <c r="H236" s="31"/>
      <c r="I236" s="31"/>
      <c r="J236" s="31"/>
      <c r="K236" s="31"/>
      <c r="L236" s="31"/>
    </row>
    <row r="237" spans="1:12" ht="13.5" customHeight="1" x14ac:dyDescent="0.15">
      <c r="A237" s="31"/>
      <c r="B237" s="31"/>
      <c r="C237" s="31"/>
      <c r="D237" s="31"/>
      <c r="E237" s="31"/>
      <c r="F237" s="31"/>
      <c r="G237" s="31"/>
      <c r="H237" s="31"/>
      <c r="I237" s="31"/>
      <c r="J237" s="31"/>
      <c r="K237" s="31"/>
      <c r="L237" s="31"/>
    </row>
    <row r="238" spans="1:12" ht="13.5" customHeight="1" x14ac:dyDescent="0.15">
      <c r="A238" s="31"/>
      <c r="B238" s="31"/>
      <c r="C238" s="31"/>
      <c r="D238" s="31"/>
      <c r="E238" s="31"/>
      <c r="F238" s="31"/>
      <c r="G238" s="31"/>
      <c r="H238" s="31"/>
      <c r="I238" s="31"/>
      <c r="J238" s="31"/>
      <c r="K238" s="31"/>
      <c r="L238" s="31"/>
    </row>
    <row r="239" spans="1:12" ht="13.5" customHeight="1" x14ac:dyDescent="0.15">
      <c r="A239" s="31"/>
      <c r="B239" s="31"/>
      <c r="C239" s="31"/>
      <c r="D239" s="31"/>
      <c r="E239" s="31"/>
      <c r="F239" s="31"/>
      <c r="G239" s="31"/>
      <c r="H239" s="31"/>
      <c r="I239" s="31"/>
      <c r="J239" s="31"/>
      <c r="K239" s="31"/>
      <c r="L239" s="31"/>
    </row>
    <row r="240" spans="1:12" ht="13.5" customHeight="1" x14ac:dyDescent="0.15">
      <c r="A240" s="31"/>
      <c r="B240" s="31"/>
      <c r="C240" s="31"/>
      <c r="D240" s="31"/>
      <c r="E240" s="31"/>
      <c r="F240" s="31"/>
      <c r="G240" s="31"/>
      <c r="H240" s="31"/>
      <c r="I240" s="31"/>
      <c r="J240" s="31"/>
      <c r="K240" s="31"/>
      <c r="L240" s="31"/>
    </row>
    <row r="241" spans="1:12" ht="13.5" customHeight="1" x14ac:dyDescent="0.15">
      <c r="A241" s="31"/>
      <c r="B241" s="31"/>
      <c r="C241" s="31"/>
      <c r="D241" s="31"/>
      <c r="E241" s="31"/>
      <c r="F241" s="31"/>
      <c r="G241" s="31"/>
      <c r="H241" s="31"/>
      <c r="I241" s="31"/>
      <c r="J241" s="31"/>
      <c r="K241" s="31"/>
      <c r="L241" s="31"/>
    </row>
    <row r="242" spans="1:12" ht="13.5" customHeight="1" x14ac:dyDescent="0.15">
      <c r="A242" s="31"/>
      <c r="B242" s="31"/>
      <c r="C242" s="31"/>
      <c r="D242" s="31"/>
      <c r="E242" s="31"/>
      <c r="F242" s="31"/>
      <c r="G242" s="31"/>
      <c r="H242" s="31"/>
      <c r="I242" s="31"/>
      <c r="J242" s="31"/>
      <c r="K242" s="31"/>
      <c r="L242" s="31"/>
    </row>
    <row r="243" spans="1:12" ht="13.5" customHeight="1" x14ac:dyDescent="0.15">
      <c r="A243" s="31"/>
      <c r="B243" s="31"/>
      <c r="C243" s="31"/>
      <c r="D243" s="31"/>
      <c r="E243" s="31"/>
      <c r="F243" s="31"/>
      <c r="G243" s="31"/>
      <c r="H243" s="31"/>
      <c r="I243" s="31"/>
      <c r="J243" s="31"/>
      <c r="K243" s="31"/>
      <c r="L243" s="31"/>
    </row>
    <row r="244" spans="1:12" ht="13.5" customHeight="1" x14ac:dyDescent="0.15">
      <c r="A244" s="31"/>
      <c r="B244" s="31"/>
      <c r="C244" s="31"/>
      <c r="D244" s="31"/>
      <c r="E244" s="31"/>
      <c r="F244" s="31"/>
      <c r="G244" s="31"/>
      <c r="H244" s="31"/>
      <c r="I244" s="31"/>
      <c r="J244" s="31"/>
      <c r="K244" s="31"/>
      <c r="L244" s="31"/>
    </row>
    <row r="245" spans="1:12" ht="13.5" customHeight="1" x14ac:dyDescent="0.15">
      <c r="A245" s="31"/>
      <c r="B245" s="31"/>
      <c r="C245" s="31"/>
      <c r="D245" s="31"/>
      <c r="E245" s="31"/>
      <c r="F245" s="31"/>
      <c r="G245" s="31"/>
      <c r="H245" s="31"/>
      <c r="I245" s="31"/>
      <c r="J245" s="31"/>
      <c r="K245" s="31"/>
      <c r="L245" s="31"/>
    </row>
    <row r="246" spans="1:12" ht="13.5" customHeight="1" x14ac:dyDescent="0.15">
      <c r="A246" s="31"/>
      <c r="B246" s="31"/>
      <c r="C246" s="31"/>
      <c r="D246" s="31"/>
      <c r="E246" s="31"/>
      <c r="F246" s="31"/>
      <c r="G246" s="31"/>
      <c r="H246" s="31"/>
      <c r="I246" s="31"/>
      <c r="J246" s="31"/>
      <c r="K246" s="31"/>
      <c r="L246" s="31"/>
    </row>
    <row r="247" spans="1:12" ht="13.5" customHeight="1" x14ac:dyDescent="0.15">
      <c r="A247" s="31"/>
      <c r="B247" s="31"/>
      <c r="C247" s="31"/>
      <c r="D247" s="31"/>
      <c r="E247" s="31"/>
      <c r="F247" s="31"/>
      <c r="G247" s="31"/>
      <c r="H247" s="31"/>
      <c r="I247" s="31"/>
      <c r="J247" s="31"/>
      <c r="K247" s="31"/>
      <c r="L247" s="31"/>
    </row>
    <row r="248" spans="1:12" ht="13.5" customHeight="1" x14ac:dyDescent="0.15">
      <c r="A248" s="31"/>
      <c r="B248" s="31"/>
      <c r="C248" s="31"/>
      <c r="D248" s="31"/>
      <c r="E248" s="31"/>
      <c r="F248" s="31"/>
      <c r="G248" s="31"/>
      <c r="H248" s="31"/>
      <c r="I248" s="31"/>
      <c r="J248" s="31"/>
      <c r="K248" s="31"/>
      <c r="L248" s="31"/>
    </row>
    <row r="249" spans="1:12" ht="13.5" customHeight="1" x14ac:dyDescent="0.15">
      <c r="A249" s="31"/>
      <c r="B249" s="31"/>
      <c r="C249" s="31"/>
      <c r="D249" s="31"/>
      <c r="E249" s="31"/>
      <c r="F249" s="31"/>
      <c r="G249" s="31"/>
      <c r="H249" s="31"/>
      <c r="I249" s="31"/>
      <c r="J249" s="31"/>
      <c r="K249" s="31"/>
      <c r="L249" s="31"/>
    </row>
    <row r="250" spans="1:12" ht="13.5" customHeight="1" x14ac:dyDescent="0.15">
      <c r="A250" s="31"/>
      <c r="B250" s="31"/>
      <c r="C250" s="31"/>
      <c r="D250" s="31"/>
      <c r="E250" s="31"/>
      <c r="F250" s="31"/>
      <c r="G250" s="31"/>
      <c r="H250" s="31"/>
      <c r="I250" s="31"/>
      <c r="J250" s="31"/>
      <c r="K250" s="31"/>
      <c r="L250" s="31"/>
    </row>
    <row r="251" spans="1:12" ht="13.5" customHeight="1" x14ac:dyDescent="0.15">
      <c r="A251" s="31"/>
      <c r="B251" s="31"/>
      <c r="C251" s="31"/>
      <c r="D251" s="31"/>
      <c r="E251" s="31"/>
      <c r="F251" s="31"/>
      <c r="G251" s="31"/>
      <c r="H251" s="31"/>
      <c r="I251" s="31"/>
      <c r="J251" s="31"/>
      <c r="K251" s="31"/>
      <c r="L251" s="31"/>
    </row>
    <row r="252" spans="1:12" ht="13.5" customHeight="1" x14ac:dyDescent="0.15">
      <c r="A252" s="31"/>
      <c r="B252" s="31"/>
      <c r="C252" s="31"/>
      <c r="D252" s="31"/>
      <c r="E252" s="31"/>
      <c r="F252" s="31"/>
      <c r="G252" s="31"/>
      <c r="H252" s="31"/>
      <c r="I252" s="31"/>
      <c r="J252" s="31"/>
      <c r="K252" s="31"/>
      <c r="L252" s="31"/>
    </row>
    <row r="253" spans="1:12" ht="13.5" customHeight="1" x14ac:dyDescent="0.15">
      <c r="A253" s="31"/>
      <c r="B253" s="31"/>
      <c r="C253" s="31"/>
      <c r="D253" s="31"/>
      <c r="E253" s="31"/>
      <c r="F253" s="31"/>
      <c r="G253" s="31"/>
      <c r="H253" s="31"/>
      <c r="I253" s="31"/>
      <c r="J253" s="31"/>
      <c r="K253" s="31"/>
      <c r="L253" s="31"/>
    </row>
    <row r="254" spans="1:12" ht="13.5" customHeight="1" x14ac:dyDescent="0.15">
      <c r="A254" s="31"/>
      <c r="B254" s="31"/>
      <c r="C254" s="31"/>
      <c r="D254" s="31"/>
      <c r="E254" s="31"/>
      <c r="F254" s="31"/>
      <c r="G254" s="31"/>
      <c r="H254" s="31"/>
      <c r="I254" s="31"/>
      <c r="J254" s="31"/>
      <c r="K254" s="31"/>
      <c r="L254" s="31"/>
    </row>
    <row r="255" spans="1:12" ht="13.5" customHeight="1" x14ac:dyDescent="0.15">
      <c r="A255" s="31"/>
      <c r="B255" s="31"/>
      <c r="C255" s="31"/>
      <c r="D255" s="31"/>
      <c r="E255" s="31"/>
      <c r="F255" s="31"/>
      <c r="G255" s="31"/>
      <c r="H255" s="31"/>
      <c r="I255" s="31"/>
      <c r="J255" s="31"/>
      <c r="K255" s="31"/>
      <c r="L255" s="31"/>
    </row>
    <row r="256" spans="1:12" ht="13.5" customHeight="1" x14ac:dyDescent="0.15">
      <c r="A256" s="31"/>
      <c r="B256" s="31"/>
      <c r="C256" s="31"/>
      <c r="D256" s="31"/>
      <c r="E256" s="31"/>
      <c r="F256" s="31"/>
      <c r="G256" s="31"/>
      <c r="H256" s="31"/>
      <c r="I256" s="31"/>
      <c r="J256" s="31"/>
      <c r="K256" s="31"/>
      <c r="L256" s="31"/>
    </row>
    <row r="257" spans="1:12" ht="13.5" customHeight="1" x14ac:dyDescent="0.15">
      <c r="A257" s="31"/>
      <c r="B257" s="31"/>
      <c r="C257" s="31"/>
      <c r="D257" s="31"/>
      <c r="E257" s="31"/>
      <c r="F257" s="31"/>
      <c r="G257" s="31"/>
      <c r="H257" s="31"/>
      <c r="I257" s="31"/>
      <c r="J257" s="31"/>
      <c r="K257" s="31"/>
      <c r="L257" s="31"/>
    </row>
    <row r="258" spans="1:12" ht="13.5" customHeight="1" x14ac:dyDescent="0.15">
      <c r="A258" s="31"/>
      <c r="B258" s="31"/>
      <c r="C258" s="31"/>
      <c r="D258" s="31"/>
      <c r="E258" s="31"/>
      <c r="F258" s="31"/>
      <c r="G258" s="31"/>
      <c r="H258" s="31"/>
      <c r="I258" s="31"/>
      <c r="J258" s="31"/>
      <c r="K258" s="31"/>
      <c r="L258" s="31"/>
    </row>
    <row r="259" spans="1:12" ht="13.5" customHeight="1" x14ac:dyDescent="0.15">
      <c r="A259" s="31"/>
      <c r="B259" s="31"/>
      <c r="C259" s="31"/>
      <c r="D259" s="31"/>
      <c r="E259" s="31"/>
      <c r="F259" s="31"/>
      <c r="G259" s="31"/>
      <c r="H259" s="31"/>
      <c r="I259" s="31"/>
      <c r="J259" s="31"/>
      <c r="K259" s="31"/>
      <c r="L259" s="31"/>
    </row>
    <row r="260" spans="1:12" ht="13.5" customHeight="1" x14ac:dyDescent="0.15">
      <c r="A260" s="31"/>
      <c r="B260" s="31"/>
      <c r="C260" s="31"/>
      <c r="D260" s="31"/>
      <c r="E260" s="31"/>
      <c r="F260" s="31"/>
      <c r="G260" s="31"/>
      <c r="H260" s="31"/>
      <c r="I260" s="31"/>
      <c r="J260" s="31"/>
      <c r="K260" s="31"/>
      <c r="L260" s="31"/>
    </row>
    <row r="261" spans="1:12" ht="13.5" customHeight="1" x14ac:dyDescent="0.15">
      <c r="A261" s="31"/>
      <c r="B261" s="31"/>
      <c r="C261" s="31"/>
      <c r="D261" s="31"/>
      <c r="E261" s="31"/>
      <c r="F261" s="31"/>
      <c r="G261" s="31"/>
      <c r="H261" s="31"/>
      <c r="I261" s="31"/>
      <c r="J261" s="31"/>
      <c r="K261" s="31"/>
      <c r="L261" s="31"/>
    </row>
    <row r="262" spans="1:12" ht="13.5" customHeight="1" x14ac:dyDescent="0.15">
      <c r="A262" s="31"/>
      <c r="B262" s="31"/>
      <c r="C262" s="31"/>
      <c r="D262" s="31"/>
      <c r="E262" s="31"/>
      <c r="F262" s="31"/>
      <c r="G262" s="31"/>
      <c r="H262" s="31"/>
      <c r="I262" s="31"/>
      <c r="J262" s="31"/>
      <c r="K262" s="31"/>
      <c r="L262" s="31"/>
    </row>
    <row r="263" spans="1:12" ht="13.5" customHeight="1" x14ac:dyDescent="0.15">
      <c r="A263" s="31"/>
      <c r="B263" s="31"/>
      <c r="C263" s="31"/>
      <c r="D263" s="31"/>
      <c r="E263" s="31"/>
      <c r="F263" s="31"/>
      <c r="G263" s="31"/>
      <c r="H263" s="31"/>
      <c r="I263" s="31"/>
      <c r="J263" s="31"/>
      <c r="K263" s="31"/>
      <c r="L263" s="31"/>
    </row>
    <row r="264" spans="1:12" ht="13.5" customHeight="1" x14ac:dyDescent="0.15">
      <c r="A264" s="31"/>
      <c r="B264" s="31"/>
      <c r="C264" s="31"/>
      <c r="D264" s="31"/>
      <c r="E264" s="31"/>
      <c r="F264" s="31"/>
      <c r="G264" s="31"/>
      <c r="H264" s="31"/>
      <c r="I264" s="31"/>
      <c r="J264" s="31"/>
      <c r="K264" s="31"/>
      <c r="L264" s="31"/>
    </row>
    <row r="265" spans="1:12" ht="13.5" customHeight="1" x14ac:dyDescent="0.15">
      <c r="A265" s="31"/>
      <c r="B265" s="31"/>
      <c r="C265" s="31"/>
      <c r="D265" s="31"/>
      <c r="E265" s="31"/>
      <c r="F265" s="31"/>
      <c r="G265" s="31"/>
      <c r="H265" s="31"/>
      <c r="I265" s="31"/>
      <c r="J265" s="31"/>
      <c r="K265" s="31"/>
      <c r="L265" s="31"/>
    </row>
    <row r="266" spans="1:12" ht="13.5" customHeight="1" x14ac:dyDescent="0.15">
      <c r="A266" s="31"/>
      <c r="B266" s="31"/>
      <c r="C266" s="31"/>
      <c r="D266" s="31"/>
      <c r="E266" s="31"/>
      <c r="F266" s="31"/>
      <c r="G266" s="31"/>
      <c r="H266" s="31"/>
      <c r="I266" s="31"/>
      <c r="J266" s="31"/>
      <c r="K266" s="31"/>
      <c r="L266" s="31"/>
    </row>
    <row r="267" spans="1:12" ht="13.5" customHeight="1" x14ac:dyDescent="0.15">
      <c r="A267" s="31"/>
      <c r="B267" s="31"/>
      <c r="C267" s="31"/>
      <c r="D267" s="31"/>
      <c r="E267" s="31"/>
      <c r="F267" s="31"/>
      <c r="G267" s="31"/>
      <c r="H267" s="31"/>
      <c r="I267" s="31"/>
      <c r="J267" s="31"/>
      <c r="K267" s="31"/>
      <c r="L267" s="31"/>
    </row>
    <row r="268" spans="1:12" ht="13.5" customHeight="1" x14ac:dyDescent="0.15">
      <c r="A268" s="31"/>
      <c r="B268" s="31"/>
      <c r="C268" s="31"/>
      <c r="D268" s="31"/>
      <c r="E268" s="31"/>
      <c r="F268" s="31"/>
      <c r="G268" s="31"/>
      <c r="H268" s="31"/>
      <c r="I268" s="31"/>
      <c r="J268" s="31"/>
      <c r="K268" s="31"/>
      <c r="L268" s="31"/>
    </row>
    <row r="269" spans="1:12" ht="13.5" customHeight="1" x14ac:dyDescent="0.15">
      <c r="A269" s="31"/>
      <c r="B269" s="31"/>
      <c r="C269" s="31"/>
      <c r="D269" s="31"/>
      <c r="E269" s="31"/>
      <c r="F269" s="31"/>
      <c r="G269" s="31"/>
      <c r="H269" s="31"/>
      <c r="I269" s="31"/>
      <c r="J269" s="31"/>
      <c r="K269" s="31"/>
      <c r="L269" s="31"/>
    </row>
    <row r="270" spans="1:12" ht="13.5" customHeight="1" x14ac:dyDescent="0.15">
      <c r="A270" s="31"/>
      <c r="B270" s="31"/>
      <c r="C270" s="31"/>
      <c r="D270" s="31"/>
      <c r="E270" s="31"/>
      <c r="F270" s="31"/>
      <c r="G270" s="31"/>
      <c r="H270" s="31"/>
      <c r="I270" s="31"/>
      <c r="J270" s="31"/>
      <c r="K270" s="31"/>
      <c r="L270" s="31"/>
    </row>
    <row r="271" spans="1:12" ht="13.5" customHeight="1" x14ac:dyDescent="0.15">
      <c r="A271" s="31"/>
      <c r="B271" s="31"/>
      <c r="C271" s="31"/>
      <c r="D271" s="31"/>
      <c r="E271" s="31"/>
      <c r="F271" s="31"/>
      <c r="G271" s="31"/>
      <c r="H271" s="31"/>
      <c r="I271" s="31"/>
      <c r="J271" s="31"/>
      <c r="K271" s="31"/>
      <c r="L271" s="31"/>
    </row>
    <row r="272" spans="1:12" ht="13.5" customHeight="1" x14ac:dyDescent="0.15">
      <c r="A272" s="31"/>
      <c r="B272" s="31"/>
      <c r="C272" s="31"/>
      <c r="D272" s="31"/>
      <c r="E272" s="31"/>
      <c r="F272" s="31"/>
      <c r="G272" s="31"/>
      <c r="H272" s="31"/>
      <c r="I272" s="31"/>
      <c r="J272" s="31"/>
      <c r="K272" s="31"/>
      <c r="L272" s="31"/>
    </row>
    <row r="273" spans="1:12" ht="13.5" customHeight="1" x14ac:dyDescent="0.15">
      <c r="A273" s="31"/>
      <c r="B273" s="31"/>
      <c r="C273" s="31"/>
      <c r="D273" s="31"/>
      <c r="E273" s="31"/>
      <c r="F273" s="31"/>
      <c r="G273" s="31"/>
      <c r="H273" s="31"/>
      <c r="I273" s="31"/>
      <c r="J273" s="31"/>
      <c r="K273" s="31"/>
      <c r="L273" s="31"/>
    </row>
    <row r="274" spans="1:12" ht="13.5" customHeight="1" x14ac:dyDescent="0.15">
      <c r="A274" s="31"/>
      <c r="B274" s="31"/>
      <c r="C274" s="31"/>
      <c r="D274" s="31"/>
      <c r="E274" s="31"/>
      <c r="F274" s="31"/>
      <c r="G274" s="31"/>
      <c r="H274" s="31"/>
      <c r="I274" s="31"/>
      <c r="J274" s="31"/>
      <c r="K274" s="31"/>
      <c r="L274" s="31"/>
    </row>
    <row r="275" spans="1:12" ht="13.5" customHeight="1" x14ac:dyDescent="0.15">
      <c r="A275" s="31"/>
      <c r="B275" s="31"/>
      <c r="C275" s="31"/>
      <c r="D275" s="31"/>
      <c r="E275" s="31"/>
      <c r="F275" s="31"/>
      <c r="G275" s="31"/>
      <c r="H275" s="31"/>
      <c r="I275" s="31"/>
      <c r="J275" s="31"/>
      <c r="K275" s="31"/>
      <c r="L275" s="31"/>
    </row>
    <row r="276" spans="1:12" ht="13.5" customHeight="1" x14ac:dyDescent="0.15">
      <c r="A276" s="31"/>
      <c r="B276" s="31"/>
      <c r="C276" s="31"/>
      <c r="D276" s="31"/>
      <c r="E276" s="31"/>
      <c r="F276" s="31"/>
      <c r="G276" s="31"/>
      <c r="H276" s="31"/>
      <c r="I276" s="31"/>
      <c r="J276" s="31"/>
      <c r="K276" s="31"/>
      <c r="L276" s="31"/>
    </row>
    <row r="277" spans="1:12" ht="13.5" customHeight="1" x14ac:dyDescent="0.15">
      <c r="A277" s="31"/>
      <c r="B277" s="31"/>
      <c r="C277" s="31"/>
      <c r="D277" s="31"/>
      <c r="E277" s="31"/>
      <c r="F277" s="31"/>
      <c r="G277" s="31"/>
      <c r="H277" s="31"/>
      <c r="I277" s="31"/>
      <c r="J277" s="31"/>
      <c r="K277" s="31"/>
      <c r="L277" s="31"/>
    </row>
    <row r="278" spans="1:12" ht="13.5" customHeight="1" x14ac:dyDescent="0.15">
      <c r="A278" s="31"/>
      <c r="B278" s="31"/>
      <c r="C278" s="31"/>
      <c r="D278" s="31"/>
      <c r="E278" s="31"/>
      <c r="F278" s="31"/>
      <c r="G278" s="31"/>
      <c r="H278" s="31"/>
      <c r="I278" s="31"/>
      <c r="J278" s="31"/>
      <c r="K278" s="31"/>
      <c r="L278" s="31"/>
    </row>
    <row r="279" spans="1:12" ht="13.5" customHeight="1" x14ac:dyDescent="0.15">
      <c r="A279" s="31"/>
      <c r="B279" s="31"/>
      <c r="C279" s="31"/>
      <c r="D279" s="31"/>
      <c r="E279" s="31"/>
      <c r="F279" s="31"/>
      <c r="G279" s="31"/>
      <c r="H279" s="31"/>
      <c r="I279" s="31"/>
      <c r="J279" s="31"/>
      <c r="K279" s="31"/>
      <c r="L279" s="31"/>
    </row>
    <row r="280" spans="1:12" ht="13.5" customHeight="1" x14ac:dyDescent="0.15">
      <c r="A280" s="31"/>
      <c r="B280" s="31"/>
      <c r="C280" s="31"/>
      <c r="D280" s="31"/>
      <c r="E280" s="31"/>
      <c r="F280" s="31"/>
      <c r="G280" s="31"/>
      <c r="H280" s="31"/>
      <c r="I280" s="31"/>
      <c r="J280" s="31"/>
      <c r="K280" s="31"/>
      <c r="L280" s="31"/>
    </row>
    <row r="281" spans="1:12" ht="13.5" customHeight="1" x14ac:dyDescent="0.15">
      <c r="A281" s="31"/>
      <c r="B281" s="31"/>
      <c r="C281" s="31"/>
      <c r="D281" s="31"/>
      <c r="E281" s="31"/>
      <c r="F281" s="31"/>
      <c r="G281" s="31"/>
      <c r="H281" s="31"/>
      <c r="I281" s="31"/>
      <c r="J281" s="31"/>
      <c r="K281" s="31"/>
      <c r="L281" s="31"/>
    </row>
    <row r="282" spans="1:12" ht="13.5" customHeight="1" x14ac:dyDescent="0.15">
      <c r="A282" s="31"/>
      <c r="B282" s="31"/>
      <c r="C282" s="31"/>
      <c r="D282" s="31"/>
      <c r="E282" s="31"/>
      <c r="F282" s="31"/>
      <c r="G282" s="31"/>
      <c r="H282" s="31"/>
      <c r="I282" s="31"/>
      <c r="J282" s="31"/>
      <c r="K282" s="31"/>
      <c r="L282" s="31"/>
    </row>
    <row r="283" spans="1:12" ht="13.5" customHeight="1" x14ac:dyDescent="0.15">
      <c r="A283" s="31"/>
      <c r="B283" s="31"/>
      <c r="C283" s="31"/>
      <c r="D283" s="31"/>
      <c r="E283" s="31"/>
      <c r="F283" s="31"/>
      <c r="G283" s="31"/>
      <c r="H283" s="31"/>
      <c r="I283" s="31"/>
      <c r="J283" s="31"/>
      <c r="K283" s="31"/>
      <c r="L283" s="31"/>
    </row>
    <row r="284" spans="1:12" ht="13.5" customHeight="1" x14ac:dyDescent="0.15">
      <c r="A284" s="31"/>
      <c r="B284" s="31"/>
      <c r="C284" s="31"/>
      <c r="D284" s="31"/>
      <c r="E284" s="31"/>
      <c r="F284" s="31"/>
      <c r="G284" s="31"/>
      <c r="H284" s="31"/>
      <c r="I284" s="31"/>
      <c r="J284" s="31"/>
      <c r="K284" s="31"/>
      <c r="L284" s="31"/>
    </row>
    <row r="285" spans="1:12" ht="13.5" customHeight="1" x14ac:dyDescent="0.15">
      <c r="A285" s="31"/>
      <c r="B285" s="31"/>
      <c r="C285" s="31"/>
      <c r="D285" s="31"/>
      <c r="E285" s="31"/>
      <c r="F285" s="31"/>
      <c r="G285" s="31"/>
      <c r="H285" s="31"/>
      <c r="I285" s="31"/>
      <c r="J285" s="31"/>
      <c r="K285" s="31"/>
      <c r="L285" s="31"/>
    </row>
    <row r="286" spans="1:12" ht="13.5" customHeight="1" x14ac:dyDescent="0.15">
      <c r="A286" s="31"/>
      <c r="B286" s="31"/>
      <c r="C286" s="31"/>
      <c r="D286" s="31"/>
      <c r="E286" s="31"/>
      <c r="F286" s="31"/>
      <c r="G286" s="31"/>
      <c r="H286" s="31"/>
      <c r="I286" s="31"/>
      <c r="J286" s="31"/>
      <c r="K286" s="31"/>
      <c r="L286" s="31"/>
    </row>
    <row r="287" spans="1:12" ht="13.5" customHeight="1" x14ac:dyDescent="0.15">
      <c r="A287" s="31"/>
      <c r="B287" s="31"/>
      <c r="C287" s="31"/>
      <c r="D287" s="31"/>
      <c r="E287" s="31"/>
      <c r="F287" s="31"/>
      <c r="G287" s="31"/>
      <c r="H287" s="31"/>
      <c r="I287" s="31"/>
      <c r="J287" s="31"/>
      <c r="K287" s="31"/>
      <c r="L287" s="31"/>
    </row>
    <row r="288" spans="1:12" ht="13.5" customHeight="1" x14ac:dyDescent="0.15">
      <c r="A288" s="31"/>
      <c r="B288" s="31"/>
      <c r="C288" s="31"/>
      <c r="D288" s="31"/>
      <c r="E288" s="31"/>
      <c r="F288" s="31"/>
      <c r="G288" s="31"/>
      <c r="H288" s="31"/>
      <c r="I288" s="31"/>
      <c r="J288" s="31"/>
      <c r="K288" s="31"/>
      <c r="L288" s="31"/>
    </row>
    <row r="289" spans="1:12" ht="13.5" customHeight="1" x14ac:dyDescent="0.15">
      <c r="A289" s="31"/>
      <c r="B289" s="31"/>
      <c r="C289" s="31"/>
      <c r="D289" s="31"/>
      <c r="E289" s="31"/>
      <c r="F289" s="31"/>
      <c r="G289" s="31"/>
      <c r="H289" s="31"/>
      <c r="I289" s="31"/>
      <c r="J289" s="31"/>
      <c r="K289" s="31"/>
      <c r="L289" s="31"/>
    </row>
    <row r="290" spans="1:12" ht="13.5" customHeight="1" x14ac:dyDescent="0.15">
      <c r="A290" s="31"/>
      <c r="B290" s="31"/>
      <c r="C290" s="31"/>
      <c r="D290" s="31"/>
      <c r="E290" s="31"/>
      <c r="F290" s="31"/>
      <c r="G290" s="31"/>
      <c r="H290" s="31"/>
      <c r="I290" s="31"/>
      <c r="J290" s="31"/>
      <c r="K290" s="31"/>
      <c r="L290" s="31"/>
    </row>
    <row r="291" spans="1:12" ht="13.5" customHeight="1" x14ac:dyDescent="0.15">
      <c r="A291" s="31"/>
      <c r="B291" s="31"/>
      <c r="C291" s="31"/>
      <c r="D291" s="31"/>
      <c r="E291" s="31"/>
      <c r="F291" s="31"/>
      <c r="G291" s="31"/>
      <c r="H291" s="31"/>
      <c r="I291" s="31"/>
      <c r="J291" s="31"/>
      <c r="K291" s="31"/>
      <c r="L291" s="31"/>
    </row>
    <row r="292" spans="1:12" ht="13.5" customHeight="1" x14ac:dyDescent="0.15">
      <c r="A292" s="31"/>
      <c r="B292" s="31"/>
      <c r="C292" s="31"/>
      <c r="D292" s="31"/>
      <c r="E292" s="31"/>
      <c r="F292" s="31"/>
      <c r="G292" s="31"/>
      <c r="H292" s="31"/>
      <c r="I292" s="31"/>
      <c r="J292" s="31"/>
      <c r="K292" s="31"/>
      <c r="L292" s="31"/>
    </row>
    <row r="293" spans="1:12" ht="13.5" customHeight="1" x14ac:dyDescent="0.15">
      <c r="A293" s="31"/>
      <c r="B293" s="31"/>
      <c r="C293" s="31"/>
      <c r="D293" s="31"/>
      <c r="E293" s="31"/>
      <c r="F293" s="31"/>
      <c r="G293" s="31"/>
      <c r="H293" s="31"/>
      <c r="I293" s="31"/>
      <c r="J293" s="31"/>
      <c r="K293" s="31"/>
      <c r="L293" s="31"/>
    </row>
    <row r="294" spans="1:12" ht="13.5" customHeight="1" x14ac:dyDescent="0.15">
      <c r="A294" s="31"/>
      <c r="B294" s="31"/>
      <c r="C294" s="31"/>
      <c r="D294" s="31"/>
      <c r="E294" s="31"/>
      <c r="F294" s="31"/>
      <c r="G294" s="31"/>
      <c r="H294" s="31"/>
      <c r="I294" s="31"/>
      <c r="J294" s="31"/>
      <c r="K294" s="31"/>
      <c r="L294" s="31"/>
    </row>
    <row r="295" spans="1:12" ht="13.5" customHeight="1" x14ac:dyDescent="0.15">
      <c r="A295" s="31"/>
      <c r="B295" s="31"/>
      <c r="C295" s="31"/>
      <c r="D295" s="31"/>
      <c r="E295" s="31"/>
      <c r="F295" s="31"/>
      <c r="G295" s="31"/>
      <c r="H295" s="31"/>
      <c r="I295" s="31"/>
      <c r="J295" s="31"/>
      <c r="K295" s="31"/>
      <c r="L295" s="31"/>
    </row>
    <row r="296" spans="1:12" ht="13.5" customHeight="1" x14ac:dyDescent="0.15">
      <c r="A296" s="31"/>
      <c r="B296" s="31"/>
      <c r="C296" s="31"/>
      <c r="D296" s="31"/>
      <c r="E296" s="31"/>
      <c r="F296" s="31"/>
      <c r="G296" s="31"/>
      <c r="H296" s="31"/>
      <c r="I296" s="31"/>
      <c r="J296" s="31"/>
      <c r="K296" s="31"/>
      <c r="L296" s="31"/>
    </row>
    <row r="297" spans="1:12" ht="13.5" customHeight="1" x14ac:dyDescent="0.15">
      <c r="A297" s="31"/>
      <c r="B297" s="31"/>
      <c r="C297" s="31"/>
      <c r="D297" s="31"/>
      <c r="E297" s="31"/>
      <c r="F297" s="31"/>
      <c r="G297" s="31"/>
      <c r="H297" s="31"/>
      <c r="I297" s="31"/>
      <c r="J297" s="31"/>
      <c r="K297" s="31"/>
      <c r="L297" s="31"/>
    </row>
    <row r="298" spans="1:12" ht="13.5" customHeight="1" x14ac:dyDescent="0.15">
      <c r="A298" s="31"/>
      <c r="B298" s="31"/>
      <c r="C298" s="31"/>
      <c r="D298" s="31"/>
      <c r="E298" s="31"/>
      <c r="F298" s="31"/>
      <c r="G298" s="31"/>
      <c r="H298" s="31"/>
      <c r="I298" s="31"/>
      <c r="J298" s="31"/>
      <c r="K298" s="31"/>
      <c r="L298" s="31"/>
    </row>
    <row r="299" spans="1:12" ht="13.5" customHeight="1" x14ac:dyDescent="0.15">
      <c r="A299" s="31"/>
      <c r="B299" s="31"/>
      <c r="C299" s="31"/>
      <c r="D299" s="31"/>
      <c r="E299" s="31"/>
      <c r="F299" s="31"/>
      <c r="G299" s="31"/>
      <c r="H299" s="31"/>
      <c r="I299" s="31"/>
      <c r="J299" s="31"/>
      <c r="K299" s="31"/>
      <c r="L299" s="31"/>
    </row>
    <row r="300" spans="1:12" ht="13.5" customHeight="1" x14ac:dyDescent="0.15">
      <c r="A300" s="31"/>
      <c r="B300" s="31"/>
      <c r="C300" s="31"/>
      <c r="D300" s="31"/>
      <c r="E300" s="31"/>
      <c r="F300" s="31"/>
      <c r="G300" s="31"/>
      <c r="H300" s="31"/>
      <c r="I300" s="31"/>
      <c r="J300" s="31"/>
      <c r="K300" s="31"/>
      <c r="L300" s="31"/>
    </row>
    <row r="301" spans="1:12" ht="13.5" customHeight="1" x14ac:dyDescent="0.15">
      <c r="A301" s="31"/>
      <c r="B301" s="31"/>
      <c r="C301" s="31"/>
      <c r="D301" s="31"/>
      <c r="E301" s="31"/>
      <c r="F301" s="31"/>
      <c r="G301" s="31"/>
      <c r="H301" s="31"/>
      <c r="I301" s="31"/>
      <c r="J301" s="31"/>
      <c r="K301" s="31"/>
      <c r="L301" s="31"/>
    </row>
    <row r="302" spans="1:12" ht="13.5" customHeight="1" x14ac:dyDescent="0.15">
      <c r="A302" s="31"/>
      <c r="B302" s="31"/>
      <c r="C302" s="31"/>
      <c r="D302" s="31"/>
      <c r="E302" s="31"/>
      <c r="F302" s="31"/>
      <c r="G302" s="31"/>
      <c r="H302" s="31"/>
      <c r="I302" s="31"/>
      <c r="J302" s="31"/>
      <c r="K302" s="31"/>
      <c r="L302" s="31"/>
    </row>
    <row r="303" spans="1:12" ht="13.5" customHeight="1" x14ac:dyDescent="0.15">
      <c r="A303" s="31"/>
      <c r="B303" s="31"/>
      <c r="C303" s="31"/>
      <c r="D303" s="31"/>
      <c r="E303" s="31"/>
      <c r="F303" s="31"/>
      <c r="G303" s="31"/>
      <c r="H303" s="31"/>
      <c r="I303" s="31"/>
      <c r="J303" s="31"/>
      <c r="K303" s="31"/>
      <c r="L303" s="31"/>
    </row>
    <row r="304" spans="1:12" ht="13.5" customHeight="1" x14ac:dyDescent="0.15">
      <c r="A304" s="31"/>
      <c r="B304" s="31"/>
      <c r="C304" s="31"/>
      <c r="D304" s="31"/>
      <c r="E304" s="31"/>
      <c r="F304" s="31"/>
      <c r="G304" s="31"/>
      <c r="H304" s="31"/>
      <c r="I304" s="31"/>
      <c r="J304" s="31"/>
      <c r="K304" s="31"/>
      <c r="L304" s="31"/>
    </row>
    <row r="305" spans="1:12" ht="13.5" customHeight="1" x14ac:dyDescent="0.15">
      <c r="A305" s="31"/>
      <c r="B305" s="31"/>
      <c r="C305" s="31"/>
      <c r="D305" s="31"/>
      <c r="E305" s="31"/>
      <c r="F305" s="31"/>
      <c r="G305" s="31"/>
      <c r="H305" s="31"/>
      <c r="I305" s="31"/>
      <c r="J305" s="31"/>
      <c r="K305" s="31"/>
      <c r="L305" s="31"/>
    </row>
    <row r="306" spans="1:12" ht="13.5" customHeight="1" x14ac:dyDescent="0.15">
      <c r="A306" s="31"/>
      <c r="B306" s="31"/>
      <c r="C306" s="31"/>
      <c r="D306" s="31"/>
      <c r="E306" s="31"/>
      <c r="F306" s="31"/>
      <c r="G306" s="31"/>
      <c r="H306" s="31"/>
      <c r="I306" s="31"/>
      <c r="J306" s="31"/>
      <c r="K306" s="31"/>
      <c r="L306" s="31"/>
    </row>
    <row r="307" spans="1:12" ht="13.5" customHeight="1" x14ac:dyDescent="0.15">
      <c r="A307" s="31"/>
      <c r="B307" s="31"/>
      <c r="C307" s="31"/>
      <c r="D307" s="31"/>
      <c r="E307" s="31"/>
      <c r="F307" s="31"/>
      <c r="G307" s="31"/>
      <c r="H307" s="31"/>
      <c r="I307" s="31"/>
      <c r="J307" s="31"/>
      <c r="K307" s="31"/>
      <c r="L307" s="31"/>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9"/>
  <sheetViews>
    <sheetView showGridLines="0" workbookViewId="0"/>
  </sheetViews>
  <sheetFormatPr baseColWidth="10" defaultColWidth="8.59765625" defaultRowHeight="13" customHeight="1" x14ac:dyDescent="0.15"/>
  <cols>
    <col min="1" max="2" width="8.59765625" style="5" customWidth="1"/>
    <col min="3" max="3" width="25.796875" style="5" customWidth="1"/>
    <col min="4" max="7" width="8.59765625" style="5" customWidth="1"/>
    <col min="8" max="8" width="16.3984375" style="5" customWidth="1"/>
    <col min="9" max="19" width="8.59765625" style="5" customWidth="1"/>
    <col min="20" max="20" width="44.796875" style="5" customWidth="1"/>
    <col min="21" max="24" width="13.19921875" style="5" customWidth="1"/>
    <col min="25" max="25" width="17" style="5" customWidth="1"/>
    <col min="26" max="26" width="8.59765625" style="5" customWidth="1"/>
    <col min="27" max="16384" width="8.59765625" style="5"/>
  </cols>
  <sheetData>
    <row r="1" spans="1:25" ht="13.75" customHeight="1" x14ac:dyDescent="0.15">
      <c r="A1" s="89" t="s">
        <v>641</v>
      </c>
      <c r="B1" s="90">
        <v>1</v>
      </c>
      <c r="C1" s="89" t="str">
        <f t="shared" ref="C1:C32" si="0">_xlfn.CONCAT(A1,B1)</f>
        <v>HS1</v>
      </c>
      <c r="D1" s="31"/>
      <c r="E1" s="31"/>
      <c r="F1" s="31"/>
      <c r="G1" s="31"/>
      <c r="H1" s="31"/>
      <c r="I1" s="31"/>
      <c r="J1" s="31"/>
      <c r="K1" s="31"/>
      <c r="L1" s="31"/>
      <c r="M1" s="31"/>
      <c r="N1" s="31"/>
      <c r="O1" s="31"/>
      <c r="P1" s="31"/>
      <c r="Q1" s="31"/>
      <c r="R1" s="31"/>
      <c r="S1" s="31"/>
      <c r="T1" s="31"/>
      <c r="U1" s="31"/>
      <c r="V1" s="31"/>
      <c r="W1" s="31"/>
      <c r="X1" s="31"/>
      <c r="Y1" s="31"/>
    </row>
    <row r="2" spans="1:25" ht="13.75" customHeight="1" x14ac:dyDescent="0.15">
      <c r="A2" s="89" t="s">
        <v>641</v>
      </c>
      <c r="B2" s="90">
        <f t="shared" ref="B2:B33" si="1">B1+1</f>
        <v>2</v>
      </c>
      <c r="C2" s="89" t="str">
        <f t="shared" si="0"/>
        <v>HS2</v>
      </c>
      <c r="D2" s="31"/>
      <c r="E2" s="31"/>
      <c r="F2" s="31"/>
      <c r="G2" s="31"/>
      <c r="H2" s="31"/>
      <c r="I2" s="31"/>
      <c r="J2" s="31"/>
      <c r="K2" s="31"/>
      <c r="L2" s="31"/>
      <c r="M2" s="31"/>
      <c r="N2" s="31"/>
      <c r="O2" s="31"/>
      <c r="P2" s="31"/>
      <c r="Q2" s="31"/>
      <c r="R2" s="31"/>
      <c r="S2" s="31"/>
      <c r="T2" s="31"/>
      <c r="U2" s="31"/>
      <c r="V2" s="31"/>
      <c r="W2" s="31"/>
      <c r="X2" s="31"/>
      <c r="Y2" s="31"/>
    </row>
    <row r="3" spans="1:25" ht="13.75" customHeight="1" x14ac:dyDescent="0.15">
      <c r="A3" s="89" t="s">
        <v>641</v>
      </c>
      <c r="B3" s="90">
        <f t="shared" si="1"/>
        <v>3</v>
      </c>
      <c r="C3" s="89" t="str">
        <f t="shared" si="0"/>
        <v>HS3</v>
      </c>
      <c r="D3" s="31"/>
      <c r="E3" s="89" t="s">
        <v>642</v>
      </c>
      <c r="F3" s="31"/>
      <c r="G3" s="31"/>
      <c r="H3" s="31"/>
      <c r="I3" s="31"/>
      <c r="J3" s="31"/>
      <c r="K3" s="31"/>
      <c r="L3" s="31"/>
      <c r="M3" s="31"/>
      <c r="N3" s="31"/>
      <c r="O3" s="31"/>
      <c r="P3" s="31"/>
      <c r="Q3" s="31"/>
      <c r="R3" s="31"/>
      <c r="S3" s="31"/>
      <c r="T3" s="31"/>
      <c r="U3" s="31"/>
      <c r="V3" s="31"/>
      <c r="W3" s="31"/>
      <c r="X3" s="31"/>
      <c r="Y3" s="31"/>
    </row>
    <row r="4" spans="1:25" ht="13.75" customHeight="1" x14ac:dyDescent="0.15">
      <c r="A4" s="89" t="s">
        <v>641</v>
      </c>
      <c r="B4" s="90">
        <f t="shared" si="1"/>
        <v>4</v>
      </c>
      <c r="C4" s="89" t="str">
        <f t="shared" si="0"/>
        <v>HS4</v>
      </c>
      <c r="D4" s="31"/>
      <c r="E4" s="89" t="s">
        <v>643</v>
      </c>
      <c r="F4" s="31"/>
      <c r="G4" s="31"/>
      <c r="H4" s="31"/>
      <c r="I4" s="31"/>
      <c r="J4" s="31"/>
      <c r="K4" s="31"/>
      <c r="L4" s="31"/>
      <c r="M4" s="31"/>
      <c r="N4" s="31"/>
      <c r="O4" s="31"/>
      <c r="P4" s="31"/>
      <c r="Q4" s="31"/>
      <c r="R4" s="31"/>
      <c r="S4" s="31"/>
      <c r="T4" s="31"/>
      <c r="U4" s="31"/>
      <c r="V4" s="31"/>
      <c r="W4" s="31"/>
      <c r="X4" s="31"/>
      <c r="Y4" s="31"/>
    </row>
    <row r="5" spans="1:25" ht="13.75" customHeight="1" x14ac:dyDescent="0.15">
      <c r="A5" s="89" t="s">
        <v>641</v>
      </c>
      <c r="B5" s="90">
        <f t="shared" si="1"/>
        <v>5</v>
      </c>
      <c r="C5" s="89" t="str">
        <f t="shared" si="0"/>
        <v>HS5</v>
      </c>
      <c r="D5" s="31"/>
      <c r="E5" s="31"/>
      <c r="F5" s="31"/>
      <c r="G5" s="31"/>
      <c r="H5" s="31"/>
      <c r="I5" s="31"/>
      <c r="J5" s="31"/>
      <c r="K5" s="31"/>
      <c r="L5" s="31"/>
      <c r="M5" s="31"/>
      <c r="N5" s="31"/>
      <c r="O5" s="31"/>
      <c r="P5" s="31"/>
      <c r="Q5" s="31"/>
      <c r="R5" s="31"/>
      <c r="S5" s="31"/>
      <c r="T5" s="31"/>
      <c r="U5" s="31"/>
      <c r="V5" s="31"/>
      <c r="W5" s="31"/>
      <c r="X5" s="31"/>
      <c r="Y5" s="31"/>
    </row>
    <row r="6" spans="1:25" ht="13.75" customHeight="1" x14ac:dyDescent="0.15">
      <c r="A6" s="89" t="s">
        <v>641</v>
      </c>
      <c r="B6" s="90">
        <f t="shared" si="1"/>
        <v>6</v>
      </c>
      <c r="C6" s="89" t="str">
        <f t="shared" si="0"/>
        <v>HS6</v>
      </c>
      <c r="D6" s="31"/>
      <c r="E6" s="31"/>
      <c r="F6" s="31"/>
      <c r="G6" s="31"/>
      <c r="H6" s="31"/>
      <c r="I6" s="31"/>
      <c r="J6" s="31"/>
      <c r="K6" s="31"/>
      <c r="L6" s="31"/>
      <c r="M6" s="31"/>
      <c r="N6" s="31"/>
      <c r="O6" s="31"/>
      <c r="P6" s="31"/>
      <c r="Q6" s="31"/>
      <c r="R6" s="31"/>
      <c r="S6" s="31"/>
      <c r="T6" s="31"/>
      <c r="U6" s="31"/>
      <c r="V6" s="31"/>
      <c r="W6" s="31"/>
      <c r="X6" s="31"/>
      <c r="Y6" s="31"/>
    </row>
    <row r="7" spans="1:25" ht="13.75" customHeight="1" x14ac:dyDescent="0.15">
      <c r="A7" s="89" t="s">
        <v>641</v>
      </c>
      <c r="B7" s="90">
        <f t="shared" si="1"/>
        <v>7</v>
      </c>
      <c r="C7" s="89" t="str">
        <f t="shared" si="0"/>
        <v>HS7</v>
      </c>
      <c r="D7" s="31"/>
      <c r="E7" s="31"/>
      <c r="F7" s="31"/>
      <c r="G7" s="31"/>
      <c r="H7" s="31"/>
      <c r="I7" s="31"/>
      <c r="J7" s="31"/>
      <c r="K7" s="31"/>
      <c r="L7" s="31"/>
      <c r="M7" s="31"/>
      <c r="N7" s="31"/>
      <c r="O7" s="31"/>
      <c r="P7" s="31"/>
      <c r="Q7" s="31"/>
      <c r="R7" s="31"/>
      <c r="S7" s="31"/>
      <c r="T7" s="91"/>
      <c r="U7" s="91"/>
      <c r="V7" s="91"/>
      <c r="W7" s="91"/>
      <c r="X7" s="91"/>
      <c r="Y7" s="91"/>
    </row>
    <row r="8" spans="1:25" ht="13.75" customHeight="1" x14ac:dyDescent="0.15">
      <c r="A8" s="89" t="s">
        <v>641</v>
      </c>
      <c r="B8" s="90">
        <f t="shared" si="1"/>
        <v>8</v>
      </c>
      <c r="C8" s="89" t="str">
        <f t="shared" si="0"/>
        <v>HS8</v>
      </c>
      <c r="D8" s="31"/>
      <c r="E8" s="31"/>
      <c r="F8" s="31"/>
      <c r="G8" s="31"/>
      <c r="H8" s="31"/>
      <c r="I8" s="31"/>
      <c r="J8" s="31"/>
      <c r="K8" s="31"/>
      <c r="L8" s="31"/>
      <c r="M8" s="31"/>
      <c r="N8" s="31"/>
      <c r="O8" s="31"/>
      <c r="P8" s="31"/>
      <c r="Q8" s="31"/>
      <c r="R8" s="31"/>
      <c r="S8" s="92"/>
      <c r="T8" s="93" t="s">
        <v>644</v>
      </c>
      <c r="U8" s="93" t="s">
        <v>312</v>
      </c>
      <c r="V8" s="93" t="s">
        <v>468</v>
      </c>
      <c r="W8" s="93" t="s">
        <v>543</v>
      </c>
      <c r="X8" s="93" t="s">
        <v>413</v>
      </c>
      <c r="Y8" s="94" t="s">
        <v>637</v>
      </c>
    </row>
    <row r="9" spans="1:25" ht="13.75" customHeight="1" x14ac:dyDescent="0.15">
      <c r="A9" s="89" t="s">
        <v>641</v>
      </c>
      <c r="B9" s="90">
        <f t="shared" si="1"/>
        <v>9</v>
      </c>
      <c r="C9" s="89" t="str">
        <f t="shared" si="0"/>
        <v>HS9</v>
      </c>
      <c r="D9" s="31"/>
      <c r="E9" s="31"/>
      <c r="F9" s="31"/>
      <c r="G9" s="31"/>
      <c r="H9" s="31"/>
      <c r="I9" s="31"/>
      <c r="J9" s="31"/>
      <c r="K9" s="31"/>
      <c r="L9" s="31"/>
      <c r="M9" s="31"/>
      <c r="N9" s="31"/>
      <c r="O9" s="31"/>
      <c r="P9" s="31"/>
      <c r="Q9" s="31"/>
      <c r="R9" s="31"/>
      <c r="S9" s="31"/>
      <c r="T9" s="95" t="s">
        <v>357</v>
      </c>
      <c r="U9" s="95" t="s">
        <v>645</v>
      </c>
      <c r="V9" s="95" t="s">
        <v>645</v>
      </c>
      <c r="W9" s="95" t="s">
        <v>645</v>
      </c>
      <c r="X9" s="95" t="s">
        <v>645</v>
      </c>
      <c r="Y9" s="95" t="s">
        <v>645</v>
      </c>
    </row>
    <row r="10" spans="1:25" ht="13.75" customHeight="1" x14ac:dyDescent="0.15">
      <c r="A10" s="89" t="s">
        <v>641</v>
      </c>
      <c r="B10" s="90">
        <f t="shared" si="1"/>
        <v>10</v>
      </c>
      <c r="C10" s="89" t="str">
        <f t="shared" si="0"/>
        <v>HS10</v>
      </c>
      <c r="D10" s="31"/>
      <c r="E10" s="31"/>
      <c r="F10" s="31"/>
      <c r="G10" s="31"/>
      <c r="H10" s="31"/>
      <c r="I10" s="31"/>
      <c r="J10" s="31"/>
      <c r="K10" s="31"/>
      <c r="L10" s="31"/>
      <c r="M10" s="31"/>
      <c r="N10" s="31"/>
      <c r="O10" s="31"/>
      <c r="P10" s="31"/>
      <c r="Q10" s="31"/>
      <c r="R10" s="31"/>
      <c r="S10" s="31"/>
      <c r="T10" s="89" t="s">
        <v>393</v>
      </c>
      <c r="U10" s="96">
        <v>6716500</v>
      </c>
      <c r="V10" s="89" t="s">
        <v>645</v>
      </c>
      <c r="W10" s="96">
        <v>14913290</v>
      </c>
      <c r="X10" s="96">
        <v>3258500</v>
      </c>
      <c r="Y10" s="96">
        <v>24888290</v>
      </c>
    </row>
    <row r="11" spans="1:25" ht="13.75" customHeight="1" x14ac:dyDescent="0.15">
      <c r="A11" s="89" t="s">
        <v>641</v>
      </c>
      <c r="B11" s="90">
        <f t="shared" si="1"/>
        <v>11</v>
      </c>
      <c r="C11" s="89" t="str">
        <f t="shared" si="0"/>
        <v>HS11</v>
      </c>
      <c r="D11" s="31"/>
      <c r="E11" s="31"/>
      <c r="F11" s="31"/>
      <c r="G11" s="31"/>
      <c r="H11" s="31"/>
      <c r="I11" s="31"/>
      <c r="J11" s="31"/>
      <c r="K11" s="31"/>
      <c r="L11" s="31"/>
      <c r="M11" s="31"/>
      <c r="N11" s="31"/>
      <c r="O11" s="31"/>
      <c r="P11" s="31"/>
      <c r="Q11" s="31"/>
      <c r="R11" s="31"/>
      <c r="S11" s="31"/>
      <c r="T11" s="89" t="s">
        <v>340</v>
      </c>
      <c r="U11" s="89" t="s">
        <v>645</v>
      </c>
      <c r="V11" s="89" t="s">
        <v>645</v>
      </c>
      <c r="W11" s="89" t="s">
        <v>645</v>
      </c>
      <c r="X11" s="89" t="s">
        <v>645</v>
      </c>
      <c r="Y11" s="89" t="s">
        <v>645</v>
      </c>
    </row>
    <row r="12" spans="1:25" ht="13.75" customHeight="1" x14ac:dyDescent="0.15">
      <c r="A12" s="89" t="s">
        <v>641</v>
      </c>
      <c r="B12" s="90">
        <f t="shared" si="1"/>
        <v>12</v>
      </c>
      <c r="C12" s="89" t="str">
        <f t="shared" si="0"/>
        <v>HS12</v>
      </c>
      <c r="D12" s="31"/>
      <c r="E12" s="31"/>
      <c r="F12" s="31"/>
      <c r="G12" s="31"/>
      <c r="H12" s="31"/>
      <c r="I12" s="31"/>
      <c r="J12" s="31"/>
      <c r="K12" s="31"/>
      <c r="L12" s="31"/>
      <c r="M12" s="31"/>
      <c r="N12" s="31"/>
      <c r="O12" s="31"/>
      <c r="P12" s="31"/>
      <c r="Q12" s="31"/>
      <c r="R12" s="31"/>
      <c r="S12" s="31"/>
      <c r="T12" s="89" t="s">
        <v>350</v>
      </c>
      <c r="U12" s="89" t="s">
        <v>645</v>
      </c>
      <c r="V12" s="89" t="s">
        <v>645</v>
      </c>
      <c r="W12" s="89" t="s">
        <v>645</v>
      </c>
      <c r="X12" s="96">
        <v>1772890</v>
      </c>
      <c r="Y12" s="96">
        <v>1772890</v>
      </c>
    </row>
    <row r="13" spans="1:25" ht="13.75" customHeight="1" x14ac:dyDescent="0.15">
      <c r="A13" s="89" t="s">
        <v>641</v>
      </c>
      <c r="B13" s="90">
        <f t="shared" si="1"/>
        <v>13</v>
      </c>
      <c r="C13" s="89" t="str">
        <f t="shared" si="0"/>
        <v>HS13</v>
      </c>
      <c r="D13" s="31"/>
      <c r="E13" s="31"/>
      <c r="F13" s="31"/>
      <c r="G13" s="31"/>
      <c r="H13" s="31"/>
      <c r="I13" s="31"/>
      <c r="J13" s="31"/>
      <c r="K13" s="31"/>
      <c r="L13" s="31"/>
      <c r="M13" s="31"/>
      <c r="N13" s="31"/>
      <c r="O13" s="31"/>
      <c r="P13" s="31"/>
      <c r="Q13" s="31"/>
      <c r="R13" s="31"/>
      <c r="S13" s="31"/>
      <c r="T13" s="89" t="s">
        <v>311</v>
      </c>
      <c r="U13" s="96">
        <v>7434622</v>
      </c>
      <c r="V13" s="96">
        <v>10098208</v>
      </c>
      <c r="W13" s="96">
        <v>9441800</v>
      </c>
      <c r="X13" s="96">
        <v>7678734</v>
      </c>
      <c r="Y13" s="96">
        <v>34653364</v>
      </c>
    </row>
    <row r="14" spans="1:25" ht="13.75" customHeight="1" x14ac:dyDescent="0.15">
      <c r="A14" s="89" t="s">
        <v>641</v>
      </c>
      <c r="B14" s="90">
        <f t="shared" si="1"/>
        <v>14</v>
      </c>
      <c r="C14" s="89" t="str">
        <f t="shared" si="0"/>
        <v>HS14</v>
      </c>
      <c r="D14" s="31"/>
      <c r="E14" s="31"/>
      <c r="F14" s="31"/>
      <c r="G14" s="31"/>
      <c r="H14" s="31"/>
      <c r="I14" s="31"/>
      <c r="J14" s="31"/>
      <c r="K14" s="31"/>
      <c r="L14" s="31"/>
      <c r="M14" s="31"/>
      <c r="N14" s="31"/>
      <c r="O14" s="31"/>
      <c r="P14" s="31"/>
      <c r="Q14" s="31"/>
      <c r="R14" s="31"/>
      <c r="S14" s="31"/>
      <c r="T14" s="89" t="s">
        <v>343</v>
      </c>
      <c r="U14" s="89" t="s">
        <v>645</v>
      </c>
      <c r="V14" s="89" t="s">
        <v>645</v>
      </c>
      <c r="W14" s="89" t="s">
        <v>645</v>
      </c>
      <c r="X14" s="96">
        <v>11218550</v>
      </c>
      <c r="Y14" s="96">
        <v>11218550</v>
      </c>
    </row>
    <row r="15" spans="1:25" ht="13.75" customHeight="1" x14ac:dyDescent="0.15">
      <c r="A15" s="89" t="s">
        <v>641</v>
      </c>
      <c r="B15" s="90">
        <f t="shared" si="1"/>
        <v>15</v>
      </c>
      <c r="C15" s="89" t="str">
        <f t="shared" si="0"/>
        <v>HS15</v>
      </c>
      <c r="D15" s="31"/>
      <c r="E15" s="31"/>
      <c r="F15" s="31"/>
      <c r="G15" s="31"/>
      <c r="H15" s="31"/>
      <c r="I15" s="31"/>
      <c r="J15" s="31"/>
      <c r="K15" s="31"/>
      <c r="L15" s="31"/>
      <c r="M15" s="31"/>
      <c r="N15" s="31"/>
      <c r="O15" s="31"/>
      <c r="P15" s="31"/>
      <c r="Q15" s="31"/>
      <c r="R15" s="31"/>
      <c r="S15" s="31"/>
      <c r="T15" s="89" t="s">
        <v>333</v>
      </c>
      <c r="U15" s="96">
        <v>10852800</v>
      </c>
      <c r="V15" s="89" t="s">
        <v>645</v>
      </c>
      <c r="W15" s="89" t="s">
        <v>645</v>
      </c>
      <c r="X15" s="96">
        <v>29373050</v>
      </c>
      <c r="Y15" s="96">
        <v>40225850</v>
      </c>
    </row>
    <row r="16" spans="1:25" ht="13.75" customHeight="1" x14ac:dyDescent="0.15">
      <c r="A16" s="89" t="s">
        <v>641</v>
      </c>
      <c r="B16" s="90">
        <f t="shared" si="1"/>
        <v>16</v>
      </c>
      <c r="C16" s="89" t="str">
        <f t="shared" si="0"/>
        <v>HS16</v>
      </c>
      <c r="D16" s="31"/>
      <c r="E16" s="31"/>
      <c r="F16" s="31"/>
      <c r="G16" s="31"/>
      <c r="H16" s="31"/>
      <c r="I16" s="31"/>
      <c r="J16" s="31"/>
      <c r="K16" s="31"/>
      <c r="L16" s="31"/>
      <c r="M16" s="31"/>
      <c r="N16" s="31"/>
      <c r="O16" s="31"/>
      <c r="P16" s="31"/>
      <c r="Q16" s="31"/>
      <c r="R16" s="31"/>
      <c r="S16" s="31"/>
      <c r="T16" s="89" t="s">
        <v>401</v>
      </c>
      <c r="U16" s="89" t="s">
        <v>645</v>
      </c>
      <c r="V16" s="89" t="s">
        <v>645</v>
      </c>
      <c r="W16" s="89" t="s">
        <v>645</v>
      </c>
      <c r="X16" s="89" t="s">
        <v>645</v>
      </c>
      <c r="Y16" s="89" t="s">
        <v>645</v>
      </c>
    </row>
    <row r="17" spans="1:25" ht="13.75" customHeight="1" x14ac:dyDescent="0.15">
      <c r="A17" s="89" t="s">
        <v>641</v>
      </c>
      <c r="B17" s="90">
        <f t="shared" si="1"/>
        <v>17</v>
      </c>
      <c r="C17" s="89" t="str">
        <f t="shared" si="0"/>
        <v>HS17</v>
      </c>
      <c r="D17" s="31"/>
      <c r="E17" s="31"/>
      <c r="F17" s="31"/>
      <c r="G17" s="31"/>
      <c r="H17" s="31"/>
      <c r="I17" s="31"/>
      <c r="J17" s="31"/>
      <c r="K17" s="31"/>
      <c r="L17" s="31"/>
      <c r="M17" s="31"/>
      <c r="N17" s="31"/>
      <c r="O17" s="31"/>
      <c r="P17" s="31"/>
      <c r="Q17" s="31"/>
      <c r="R17" s="31"/>
      <c r="S17" s="31"/>
      <c r="T17" s="89" t="s">
        <v>388</v>
      </c>
      <c r="U17" s="89" t="s">
        <v>645</v>
      </c>
      <c r="V17" s="89" t="s">
        <v>645</v>
      </c>
      <c r="W17" s="89" t="s">
        <v>645</v>
      </c>
      <c r="X17" s="89" t="s">
        <v>645</v>
      </c>
      <c r="Y17" s="89" t="s">
        <v>645</v>
      </c>
    </row>
    <row r="18" spans="1:25" ht="13.75" customHeight="1" x14ac:dyDescent="0.15">
      <c r="A18" s="89" t="s">
        <v>641</v>
      </c>
      <c r="B18" s="90">
        <f t="shared" si="1"/>
        <v>18</v>
      </c>
      <c r="C18" s="89" t="str">
        <f t="shared" si="0"/>
        <v>HS18</v>
      </c>
      <c r="D18" s="31"/>
      <c r="E18" s="31"/>
      <c r="F18" s="31"/>
      <c r="G18" s="31"/>
      <c r="H18" s="31"/>
      <c r="I18" s="31"/>
      <c r="J18" s="31"/>
      <c r="K18" s="31"/>
      <c r="L18" s="31"/>
      <c r="M18" s="31"/>
      <c r="N18" s="31"/>
      <c r="O18" s="31"/>
      <c r="P18" s="31"/>
      <c r="Q18" s="31"/>
      <c r="R18" s="31"/>
      <c r="S18" s="31"/>
      <c r="T18" s="89" t="s">
        <v>573</v>
      </c>
      <c r="U18" s="89" t="s">
        <v>645</v>
      </c>
      <c r="V18" s="89" t="s">
        <v>645</v>
      </c>
      <c r="W18" s="89" t="s">
        <v>645</v>
      </c>
      <c r="X18" s="89" t="s">
        <v>645</v>
      </c>
      <c r="Y18" s="89" t="s">
        <v>645</v>
      </c>
    </row>
    <row r="19" spans="1:25" ht="13.75" customHeight="1" x14ac:dyDescent="0.15">
      <c r="A19" s="89" t="s">
        <v>641</v>
      </c>
      <c r="B19" s="90">
        <f t="shared" si="1"/>
        <v>19</v>
      </c>
      <c r="C19" s="89" t="str">
        <f t="shared" si="0"/>
        <v>HS19</v>
      </c>
      <c r="D19" s="31"/>
      <c r="E19" s="31"/>
      <c r="F19" s="31"/>
      <c r="G19" s="31"/>
      <c r="H19" s="31"/>
      <c r="I19" s="31"/>
      <c r="J19" s="31"/>
      <c r="K19" s="31"/>
      <c r="L19" s="31"/>
      <c r="M19" s="31"/>
      <c r="N19" s="31"/>
      <c r="O19" s="31"/>
      <c r="P19" s="31"/>
      <c r="Q19" s="31"/>
      <c r="R19" s="31"/>
      <c r="S19" s="31"/>
      <c r="T19" s="89" t="s">
        <v>360</v>
      </c>
      <c r="U19" s="96">
        <v>1715700</v>
      </c>
      <c r="V19" s="96">
        <v>3835720</v>
      </c>
      <c r="W19" s="96">
        <v>4733470</v>
      </c>
      <c r="X19" s="96">
        <v>2206470</v>
      </c>
      <c r="Y19" s="96">
        <v>12491360</v>
      </c>
    </row>
    <row r="20" spans="1:25" ht="13.75" customHeight="1" x14ac:dyDescent="0.15">
      <c r="A20" s="89" t="s">
        <v>641</v>
      </c>
      <c r="B20" s="90">
        <f t="shared" si="1"/>
        <v>20</v>
      </c>
      <c r="C20" s="89" t="str">
        <f t="shared" si="0"/>
        <v>HS20</v>
      </c>
      <c r="D20" s="31"/>
      <c r="E20" s="31"/>
      <c r="F20" s="31"/>
      <c r="G20" s="31"/>
      <c r="H20" s="31"/>
      <c r="I20" s="31"/>
      <c r="J20" s="31"/>
      <c r="K20" s="31"/>
      <c r="L20" s="31"/>
      <c r="M20" s="31"/>
      <c r="N20" s="31"/>
      <c r="O20" s="31"/>
      <c r="P20" s="31"/>
      <c r="Q20" s="31"/>
      <c r="R20" s="31"/>
      <c r="S20" s="31"/>
      <c r="T20" s="89" t="s">
        <v>330</v>
      </c>
      <c r="U20" s="96">
        <v>828590</v>
      </c>
      <c r="V20" s="96">
        <v>2932650</v>
      </c>
      <c r="W20" s="96">
        <v>3023090</v>
      </c>
      <c r="X20" s="96">
        <v>1472310</v>
      </c>
      <c r="Y20" s="96">
        <v>8256640</v>
      </c>
    </row>
    <row r="21" spans="1:25" ht="13.75" customHeight="1" x14ac:dyDescent="0.15">
      <c r="A21" s="89" t="s">
        <v>641</v>
      </c>
      <c r="B21" s="90">
        <f t="shared" si="1"/>
        <v>21</v>
      </c>
      <c r="C21" s="89" t="str">
        <f t="shared" si="0"/>
        <v>HS21</v>
      </c>
      <c r="D21" s="31"/>
      <c r="E21" s="31"/>
      <c r="F21" s="31"/>
      <c r="G21" s="31"/>
      <c r="H21" s="31"/>
      <c r="I21" s="31"/>
      <c r="J21" s="31"/>
      <c r="K21" s="31"/>
      <c r="L21" s="31"/>
      <c r="M21" s="31"/>
      <c r="N21" s="31"/>
      <c r="O21" s="31"/>
      <c r="P21" s="31"/>
      <c r="Q21" s="31"/>
      <c r="R21" s="31"/>
      <c r="S21" s="31"/>
      <c r="T21" s="89" t="s">
        <v>352</v>
      </c>
      <c r="U21" s="96">
        <v>1437730</v>
      </c>
      <c r="V21" s="96">
        <v>618450</v>
      </c>
      <c r="W21" s="89" t="s">
        <v>645</v>
      </c>
      <c r="X21" s="89" t="s">
        <v>645</v>
      </c>
      <c r="Y21" s="96">
        <v>2056180</v>
      </c>
    </row>
    <row r="22" spans="1:25" ht="13.75" customHeight="1" x14ac:dyDescent="0.15">
      <c r="A22" s="89" t="s">
        <v>641</v>
      </c>
      <c r="B22" s="90">
        <f t="shared" si="1"/>
        <v>22</v>
      </c>
      <c r="C22" s="89" t="str">
        <f t="shared" si="0"/>
        <v>HS22</v>
      </c>
      <c r="D22" s="31"/>
      <c r="E22" s="31"/>
      <c r="F22" s="31"/>
      <c r="G22" s="31"/>
      <c r="H22" s="31"/>
      <c r="I22" s="31"/>
      <c r="J22" s="31"/>
      <c r="K22" s="31"/>
      <c r="L22" s="31"/>
      <c r="M22" s="31"/>
      <c r="N22" s="31"/>
      <c r="O22" s="31"/>
      <c r="P22" s="31"/>
      <c r="Q22" s="31"/>
      <c r="R22" s="31"/>
      <c r="S22" s="31"/>
      <c r="T22" s="97" t="s">
        <v>410</v>
      </c>
      <c r="U22" s="98">
        <v>729000</v>
      </c>
      <c r="V22" s="98">
        <v>667000</v>
      </c>
      <c r="W22" s="98">
        <v>1125000</v>
      </c>
      <c r="X22" s="98">
        <v>479000</v>
      </c>
      <c r="Y22" s="98">
        <v>3000000</v>
      </c>
    </row>
    <row r="23" spans="1:25" ht="13.75" customHeight="1" x14ac:dyDescent="0.15">
      <c r="A23" s="89" t="s">
        <v>641</v>
      </c>
      <c r="B23" s="90">
        <f t="shared" si="1"/>
        <v>23</v>
      </c>
      <c r="C23" s="89" t="str">
        <f t="shared" si="0"/>
        <v>HS23</v>
      </c>
      <c r="D23" s="31"/>
      <c r="E23" s="31"/>
      <c r="F23" s="31"/>
      <c r="G23" s="31"/>
      <c r="H23" s="31"/>
      <c r="I23" s="31"/>
      <c r="J23" s="31"/>
      <c r="K23" s="31"/>
      <c r="L23" s="31"/>
      <c r="M23" s="31"/>
      <c r="N23" s="31"/>
      <c r="O23" s="31"/>
      <c r="P23" s="31"/>
      <c r="Q23" s="31"/>
      <c r="R23" s="31"/>
      <c r="S23" s="92"/>
      <c r="T23" s="99" t="s">
        <v>637</v>
      </c>
      <c r="U23" s="100">
        <v>29714942</v>
      </c>
      <c r="V23" s="100">
        <v>18152028</v>
      </c>
      <c r="W23" s="100">
        <v>33236650</v>
      </c>
      <c r="X23" s="100">
        <v>57459504</v>
      </c>
      <c r="Y23" s="101">
        <v>138563124</v>
      </c>
    </row>
    <row r="24" spans="1:25" ht="13.75" customHeight="1" x14ac:dyDescent="0.15">
      <c r="A24" s="89" t="s">
        <v>641</v>
      </c>
      <c r="B24" s="90">
        <f t="shared" si="1"/>
        <v>24</v>
      </c>
      <c r="C24" s="89" t="str">
        <f t="shared" si="0"/>
        <v>HS24</v>
      </c>
      <c r="D24" s="31"/>
      <c r="E24" s="31"/>
      <c r="F24" s="31"/>
      <c r="G24" s="31"/>
      <c r="H24" s="31"/>
      <c r="I24" s="31"/>
      <c r="J24" s="31"/>
      <c r="K24" s="31"/>
      <c r="L24" s="31"/>
      <c r="M24" s="31"/>
      <c r="N24" s="31"/>
      <c r="O24" s="31"/>
      <c r="P24" s="31"/>
      <c r="Q24" s="31"/>
      <c r="R24" s="31"/>
      <c r="S24" s="31"/>
      <c r="T24" s="88"/>
      <c r="U24" s="88"/>
      <c r="V24" s="88"/>
      <c r="W24" s="88"/>
      <c r="X24" s="102" t="s">
        <v>646</v>
      </c>
      <c r="Y24" s="103">
        <v>135000000</v>
      </c>
    </row>
    <row r="25" spans="1:25" ht="13.75" customHeight="1" x14ac:dyDescent="0.15">
      <c r="A25" s="89" t="s">
        <v>641</v>
      </c>
      <c r="B25" s="90">
        <f t="shared" si="1"/>
        <v>25</v>
      </c>
      <c r="C25" s="89" t="str">
        <f t="shared" si="0"/>
        <v>HS25</v>
      </c>
      <c r="D25" s="31"/>
      <c r="E25" s="31"/>
      <c r="F25" s="31"/>
      <c r="G25" s="31"/>
      <c r="H25" s="31"/>
      <c r="I25" s="31"/>
      <c r="J25" s="31"/>
      <c r="K25" s="31"/>
      <c r="L25" s="31"/>
      <c r="M25" s="31"/>
      <c r="N25" s="31"/>
      <c r="O25" s="31"/>
      <c r="P25" s="31"/>
      <c r="Q25" s="31"/>
      <c r="R25" s="31"/>
      <c r="S25" s="31"/>
      <c r="T25" s="31"/>
      <c r="U25" s="31"/>
      <c r="V25" s="31"/>
      <c r="W25" s="31"/>
      <c r="X25" s="89" t="s">
        <v>647</v>
      </c>
      <c r="Y25" s="96">
        <f>Y23-Y24</f>
        <v>3563124</v>
      </c>
    </row>
    <row r="26" spans="1:25" ht="13.75" customHeight="1" x14ac:dyDescent="0.15">
      <c r="A26" s="89" t="s">
        <v>641</v>
      </c>
      <c r="B26" s="90">
        <f t="shared" si="1"/>
        <v>26</v>
      </c>
      <c r="C26" s="89" t="str">
        <f t="shared" si="0"/>
        <v>HS26</v>
      </c>
      <c r="D26" s="31"/>
      <c r="E26" s="31"/>
      <c r="F26" s="31"/>
      <c r="G26" s="31"/>
      <c r="H26" s="31"/>
      <c r="I26" s="31"/>
      <c r="J26" s="31"/>
      <c r="K26" s="31"/>
      <c r="L26" s="31"/>
      <c r="M26" s="31"/>
      <c r="N26" s="31"/>
      <c r="O26" s="31"/>
      <c r="P26" s="31"/>
      <c r="Q26" s="31"/>
      <c r="R26" s="31"/>
      <c r="S26" s="31"/>
      <c r="T26" s="31"/>
      <c r="U26" s="31"/>
      <c r="V26" s="31"/>
      <c r="W26" s="31"/>
      <c r="X26" s="31"/>
      <c r="Y26" s="31"/>
    </row>
    <row r="27" spans="1:25" ht="13.75" customHeight="1" x14ac:dyDescent="0.15">
      <c r="A27" s="89" t="s">
        <v>641</v>
      </c>
      <c r="B27" s="90">
        <f t="shared" si="1"/>
        <v>27</v>
      </c>
      <c r="C27" s="89" t="str">
        <f t="shared" si="0"/>
        <v>HS27</v>
      </c>
      <c r="D27" s="31"/>
      <c r="E27" s="31"/>
      <c r="F27" s="31"/>
      <c r="G27" s="31"/>
      <c r="H27" s="31"/>
      <c r="I27" s="31"/>
      <c r="J27" s="31"/>
      <c r="K27" s="31"/>
      <c r="L27" s="31"/>
      <c r="M27" s="31"/>
      <c r="N27" s="31"/>
      <c r="O27" s="31"/>
      <c r="P27" s="31"/>
      <c r="Q27" s="31"/>
      <c r="R27" s="31"/>
      <c r="S27" s="31"/>
      <c r="T27" s="31"/>
      <c r="U27" s="31"/>
      <c r="V27" s="31"/>
      <c r="W27" s="31"/>
      <c r="X27" s="31"/>
      <c r="Y27" s="31"/>
    </row>
    <row r="28" spans="1:25" ht="13.75" customHeight="1" x14ac:dyDescent="0.15">
      <c r="A28" s="89" t="s">
        <v>641</v>
      </c>
      <c r="B28" s="90">
        <f t="shared" si="1"/>
        <v>28</v>
      </c>
      <c r="C28" s="89" t="str">
        <f t="shared" si="0"/>
        <v>HS28</v>
      </c>
      <c r="D28" s="31"/>
      <c r="E28" s="31"/>
      <c r="F28" s="31"/>
      <c r="G28" s="31"/>
      <c r="H28" s="31"/>
      <c r="I28" s="31"/>
      <c r="J28" s="31"/>
      <c r="K28" s="31"/>
      <c r="L28" s="31"/>
      <c r="M28" s="31"/>
      <c r="N28" s="31"/>
      <c r="O28" s="31"/>
      <c r="P28" s="31"/>
      <c r="Q28" s="31"/>
      <c r="R28" s="31"/>
      <c r="S28" s="31"/>
      <c r="T28" s="31"/>
      <c r="U28" s="31"/>
      <c r="V28" s="31"/>
      <c r="W28" s="31"/>
      <c r="X28" s="31"/>
      <c r="Y28" s="31"/>
    </row>
    <row r="29" spans="1:25" ht="13.75" customHeight="1" x14ac:dyDescent="0.15">
      <c r="A29" s="89" t="s">
        <v>641</v>
      </c>
      <c r="B29" s="90">
        <f t="shared" si="1"/>
        <v>29</v>
      </c>
      <c r="C29" s="89" t="str">
        <f t="shared" si="0"/>
        <v>HS29</v>
      </c>
      <c r="D29" s="31"/>
      <c r="E29" s="31"/>
      <c r="F29" s="31"/>
      <c r="G29" s="31"/>
      <c r="H29" s="31"/>
      <c r="I29" s="31"/>
      <c r="J29" s="31"/>
      <c r="K29" s="31"/>
      <c r="L29" s="31"/>
      <c r="M29" s="31"/>
      <c r="N29" s="31"/>
      <c r="O29" s="31"/>
      <c r="P29" s="31"/>
      <c r="Q29" s="31"/>
      <c r="R29" s="31"/>
      <c r="S29" s="31"/>
      <c r="T29" s="31"/>
      <c r="U29" s="31"/>
      <c r="V29" s="31"/>
      <c r="W29" s="31"/>
      <c r="X29" s="31"/>
      <c r="Y29" s="31"/>
    </row>
    <row r="30" spans="1:25" ht="13.75" customHeight="1" x14ac:dyDescent="0.15">
      <c r="A30" s="89" t="s">
        <v>641</v>
      </c>
      <c r="B30" s="90">
        <f t="shared" si="1"/>
        <v>30</v>
      </c>
      <c r="C30" s="89" t="str">
        <f t="shared" si="0"/>
        <v>HS30</v>
      </c>
      <c r="D30" s="31"/>
      <c r="E30" s="31"/>
      <c r="F30" s="31"/>
      <c r="G30" s="31"/>
      <c r="H30" s="31"/>
      <c r="I30" s="31"/>
      <c r="J30" s="31"/>
      <c r="K30" s="31"/>
      <c r="L30" s="31"/>
      <c r="M30" s="31"/>
      <c r="N30" s="31"/>
      <c r="O30" s="31"/>
      <c r="P30" s="31"/>
      <c r="Q30" s="31"/>
      <c r="R30" s="31"/>
      <c r="S30" s="31"/>
      <c r="T30" s="31"/>
      <c r="U30" s="31"/>
      <c r="V30" s="31"/>
      <c r="W30" s="31"/>
      <c r="X30" s="31"/>
      <c r="Y30" s="31"/>
    </row>
    <row r="31" spans="1:25" ht="13.75" customHeight="1" x14ac:dyDescent="0.15">
      <c r="A31" s="89" t="s">
        <v>641</v>
      </c>
      <c r="B31" s="90">
        <f t="shared" si="1"/>
        <v>31</v>
      </c>
      <c r="C31" s="89" t="str">
        <f t="shared" si="0"/>
        <v>HS31</v>
      </c>
      <c r="D31" s="31"/>
      <c r="E31" s="31"/>
      <c r="F31" s="31"/>
      <c r="G31" s="31"/>
      <c r="H31" s="31"/>
      <c r="I31" s="31"/>
      <c r="J31" s="31"/>
      <c r="K31" s="31"/>
      <c r="L31" s="31"/>
      <c r="M31" s="31"/>
      <c r="N31" s="31"/>
      <c r="O31" s="31"/>
      <c r="P31" s="31"/>
      <c r="Q31" s="31"/>
      <c r="R31" s="31"/>
      <c r="S31" s="31"/>
      <c r="T31" s="31"/>
      <c r="U31" s="31"/>
      <c r="V31" s="31"/>
      <c r="W31" s="31"/>
      <c r="X31" s="31"/>
      <c r="Y31" s="31"/>
    </row>
    <row r="32" spans="1:25" ht="13.75" customHeight="1" x14ac:dyDescent="0.15">
      <c r="A32" s="89" t="s">
        <v>641</v>
      </c>
      <c r="B32" s="90">
        <f t="shared" si="1"/>
        <v>32</v>
      </c>
      <c r="C32" s="89" t="str">
        <f t="shared" si="0"/>
        <v>HS32</v>
      </c>
      <c r="D32" s="31"/>
      <c r="E32" s="31"/>
      <c r="F32" s="31"/>
      <c r="G32" s="31"/>
      <c r="H32" s="31"/>
      <c r="I32" s="31"/>
      <c r="J32" s="31"/>
      <c r="K32" s="31"/>
      <c r="L32" s="31"/>
      <c r="M32" s="31"/>
      <c r="N32" s="31"/>
      <c r="O32" s="31"/>
      <c r="P32" s="31"/>
      <c r="Q32" s="31"/>
      <c r="R32" s="31"/>
      <c r="S32" s="31"/>
      <c r="T32" s="31"/>
      <c r="U32" s="31"/>
      <c r="V32" s="31"/>
      <c r="W32" s="31"/>
      <c r="X32" s="31"/>
      <c r="Y32" s="31"/>
    </row>
    <row r="33" spans="1:25" ht="13.75" customHeight="1" x14ac:dyDescent="0.15">
      <c r="A33" s="89" t="s">
        <v>641</v>
      </c>
      <c r="B33" s="90">
        <f t="shared" si="1"/>
        <v>33</v>
      </c>
      <c r="C33" s="89" t="str">
        <f t="shared" ref="C33:C64" si="2">_xlfn.CONCAT(A33,B33)</f>
        <v>HS33</v>
      </c>
      <c r="D33" s="31"/>
      <c r="E33" s="31"/>
      <c r="F33" s="31"/>
      <c r="G33" s="31"/>
      <c r="H33" s="31"/>
      <c r="I33" s="31"/>
      <c r="J33" s="31"/>
      <c r="K33" s="31"/>
      <c r="L33" s="31"/>
      <c r="M33" s="31"/>
      <c r="N33" s="31"/>
      <c r="O33" s="31"/>
      <c r="P33" s="31"/>
      <c r="Q33" s="31"/>
      <c r="R33" s="31"/>
      <c r="S33" s="31"/>
      <c r="T33" s="31"/>
      <c r="U33" s="31"/>
      <c r="V33" s="31"/>
      <c r="W33" s="31"/>
      <c r="X33" s="31"/>
      <c r="Y33" s="31"/>
    </row>
    <row r="34" spans="1:25" ht="13.75" customHeight="1" x14ac:dyDescent="0.15">
      <c r="A34" s="89" t="s">
        <v>641</v>
      </c>
      <c r="B34" s="90">
        <f t="shared" ref="B34:B65" si="3">B33+1</f>
        <v>34</v>
      </c>
      <c r="C34" s="89" t="str">
        <f t="shared" si="2"/>
        <v>HS34</v>
      </c>
      <c r="D34" s="31"/>
      <c r="E34" s="31"/>
      <c r="F34" s="31"/>
      <c r="G34" s="31"/>
      <c r="H34" s="31"/>
      <c r="I34" s="31"/>
      <c r="J34" s="31"/>
      <c r="K34" s="31"/>
      <c r="L34" s="31"/>
      <c r="M34" s="31"/>
      <c r="N34" s="31"/>
      <c r="O34" s="31"/>
      <c r="P34" s="31"/>
      <c r="Q34" s="31"/>
      <c r="R34" s="31"/>
      <c r="S34" s="31"/>
      <c r="T34" s="31"/>
      <c r="U34" s="31"/>
      <c r="V34" s="31"/>
      <c r="W34" s="31"/>
      <c r="X34" s="31"/>
      <c r="Y34" s="31"/>
    </row>
    <row r="35" spans="1:25" ht="13.75" customHeight="1" x14ac:dyDescent="0.15">
      <c r="A35" s="89" t="s">
        <v>641</v>
      </c>
      <c r="B35" s="90">
        <f t="shared" si="3"/>
        <v>35</v>
      </c>
      <c r="C35" s="89" t="str">
        <f t="shared" si="2"/>
        <v>HS35</v>
      </c>
      <c r="D35" s="31"/>
      <c r="E35" s="31"/>
      <c r="F35" s="31"/>
      <c r="G35" s="31"/>
      <c r="H35" s="31"/>
      <c r="I35" s="31"/>
      <c r="J35" s="31"/>
      <c r="K35" s="31"/>
      <c r="L35" s="31"/>
      <c r="M35" s="31"/>
      <c r="N35" s="31"/>
      <c r="O35" s="31"/>
      <c r="P35" s="31"/>
      <c r="Q35" s="31"/>
      <c r="R35" s="31"/>
      <c r="S35" s="31"/>
      <c r="T35" s="31"/>
      <c r="U35" s="31"/>
      <c r="V35" s="31"/>
      <c r="W35" s="31"/>
      <c r="X35" s="31"/>
      <c r="Y35" s="31"/>
    </row>
    <row r="36" spans="1:25" ht="13.75" customHeight="1" x14ac:dyDescent="0.15">
      <c r="A36" s="89" t="s">
        <v>641</v>
      </c>
      <c r="B36" s="90">
        <f t="shared" si="3"/>
        <v>36</v>
      </c>
      <c r="C36" s="89" t="str">
        <f t="shared" si="2"/>
        <v>HS36</v>
      </c>
      <c r="D36" s="31"/>
      <c r="E36" s="31"/>
      <c r="F36" s="31"/>
      <c r="G36" s="31"/>
      <c r="H36" s="31"/>
      <c r="I36" s="31"/>
      <c r="J36" s="31"/>
      <c r="K36" s="31"/>
      <c r="L36" s="31"/>
      <c r="M36" s="31"/>
      <c r="N36" s="31"/>
      <c r="O36" s="31"/>
      <c r="P36" s="31"/>
      <c r="Q36" s="31"/>
      <c r="R36" s="31"/>
      <c r="S36" s="31"/>
      <c r="T36" s="31"/>
      <c r="U36" s="31"/>
      <c r="V36" s="31"/>
      <c r="W36" s="31"/>
      <c r="X36" s="31"/>
      <c r="Y36" s="31"/>
    </row>
    <row r="37" spans="1:25" ht="13.75" customHeight="1" x14ac:dyDescent="0.15">
      <c r="A37" s="89" t="s">
        <v>641</v>
      </c>
      <c r="B37" s="90">
        <f t="shared" si="3"/>
        <v>37</v>
      </c>
      <c r="C37" s="89" t="str">
        <f t="shared" si="2"/>
        <v>HS37</v>
      </c>
      <c r="D37" s="31"/>
      <c r="E37" s="31"/>
      <c r="F37" s="31"/>
      <c r="G37" s="31"/>
      <c r="H37" s="31"/>
      <c r="I37" s="31"/>
      <c r="J37" s="31"/>
      <c r="K37" s="31"/>
      <c r="L37" s="31"/>
      <c r="M37" s="31"/>
      <c r="N37" s="31"/>
      <c r="O37" s="31"/>
      <c r="P37" s="31"/>
      <c r="Q37" s="31"/>
      <c r="R37" s="31"/>
      <c r="S37" s="31"/>
      <c r="T37" s="31"/>
      <c r="U37" s="31"/>
      <c r="V37" s="31"/>
      <c r="W37" s="31"/>
      <c r="X37" s="31"/>
      <c r="Y37" s="31"/>
    </row>
    <row r="38" spans="1:25" ht="13.75" customHeight="1" x14ac:dyDescent="0.15">
      <c r="A38" s="89" t="s">
        <v>641</v>
      </c>
      <c r="B38" s="90">
        <f t="shared" si="3"/>
        <v>38</v>
      </c>
      <c r="C38" s="89" t="str">
        <f t="shared" si="2"/>
        <v>HS38</v>
      </c>
      <c r="D38" s="31"/>
      <c r="E38" s="31"/>
      <c r="F38" s="31"/>
      <c r="G38" s="31"/>
      <c r="H38" s="31"/>
      <c r="I38" s="31"/>
      <c r="J38" s="31"/>
      <c r="K38" s="31"/>
      <c r="L38" s="31"/>
      <c r="M38" s="31"/>
      <c r="N38" s="31"/>
      <c r="O38" s="31"/>
      <c r="P38" s="31"/>
      <c r="Q38" s="31"/>
      <c r="R38" s="31"/>
      <c r="S38" s="31"/>
      <c r="T38" s="31"/>
      <c r="U38" s="31"/>
      <c r="V38" s="31"/>
      <c r="W38" s="31"/>
      <c r="X38" s="31"/>
      <c r="Y38" s="31"/>
    </row>
    <row r="39" spans="1:25" ht="13.75" customHeight="1" x14ac:dyDescent="0.15">
      <c r="A39" s="89" t="s">
        <v>641</v>
      </c>
      <c r="B39" s="90">
        <f t="shared" si="3"/>
        <v>39</v>
      </c>
      <c r="C39" s="89" t="str">
        <f t="shared" si="2"/>
        <v>HS39</v>
      </c>
      <c r="D39" s="31"/>
      <c r="E39" s="31"/>
      <c r="F39" s="31"/>
      <c r="G39" s="31"/>
      <c r="H39" s="31"/>
      <c r="I39" s="31"/>
      <c r="J39" s="31"/>
      <c r="K39" s="31"/>
      <c r="L39" s="31"/>
      <c r="M39" s="31"/>
      <c r="N39" s="31"/>
      <c r="O39" s="31"/>
      <c r="P39" s="31"/>
      <c r="Q39" s="31"/>
      <c r="R39" s="31"/>
      <c r="S39" s="31"/>
      <c r="T39" s="31"/>
      <c r="U39" s="31"/>
      <c r="V39" s="31"/>
      <c r="W39" s="31"/>
      <c r="X39" s="31"/>
      <c r="Y39" s="31"/>
    </row>
    <row r="40" spans="1:25" ht="13.75" customHeight="1" x14ac:dyDescent="0.15">
      <c r="A40" s="89" t="s">
        <v>641</v>
      </c>
      <c r="B40" s="90">
        <f t="shared" si="3"/>
        <v>40</v>
      </c>
      <c r="C40" s="89" t="str">
        <f t="shared" si="2"/>
        <v>HS40</v>
      </c>
      <c r="D40" s="31"/>
      <c r="E40" s="31"/>
      <c r="F40" s="31"/>
      <c r="G40" s="31"/>
      <c r="H40" s="31"/>
      <c r="I40" s="31"/>
      <c r="J40" s="31"/>
      <c r="K40" s="31"/>
      <c r="L40" s="31"/>
      <c r="M40" s="31"/>
      <c r="N40" s="31"/>
      <c r="O40" s="31"/>
      <c r="P40" s="31"/>
      <c r="Q40" s="31"/>
      <c r="R40" s="31"/>
      <c r="S40" s="31"/>
      <c r="T40" s="31"/>
      <c r="U40" s="31"/>
      <c r="V40" s="31"/>
      <c r="W40" s="31"/>
      <c r="X40" s="31"/>
      <c r="Y40" s="31"/>
    </row>
    <row r="41" spans="1:25" ht="13.75" customHeight="1" x14ac:dyDescent="0.15">
      <c r="A41" s="89" t="s">
        <v>641</v>
      </c>
      <c r="B41" s="90">
        <f t="shared" si="3"/>
        <v>41</v>
      </c>
      <c r="C41" s="89" t="str">
        <f t="shared" si="2"/>
        <v>HS41</v>
      </c>
      <c r="D41" s="31"/>
      <c r="E41" s="31"/>
      <c r="F41" s="31"/>
      <c r="G41" s="31"/>
      <c r="H41" s="31"/>
      <c r="I41" s="31"/>
      <c r="J41" s="31"/>
      <c r="K41" s="31"/>
      <c r="L41" s="31"/>
      <c r="M41" s="31"/>
      <c r="N41" s="31"/>
      <c r="O41" s="31"/>
      <c r="P41" s="31"/>
      <c r="Q41" s="31"/>
      <c r="R41" s="31"/>
      <c r="S41" s="31"/>
      <c r="T41" s="31"/>
      <c r="U41" s="31"/>
      <c r="V41" s="31"/>
      <c r="W41" s="31"/>
      <c r="X41" s="31"/>
      <c r="Y41" s="31"/>
    </row>
    <row r="42" spans="1:25" ht="13.75" customHeight="1" x14ac:dyDescent="0.15">
      <c r="A42" s="89" t="s">
        <v>641</v>
      </c>
      <c r="B42" s="90">
        <f t="shared" si="3"/>
        <v>42</v>
      </c>
      <c r="C42" s="89" t="str">
        <f t="shared" si="2"/>
        <v>HS42</v>
      </c>
      <c r="D42" s="31"/>
      <c r="E42" s="31"/>
      <c r="F42" s="31"/>
      <c r="G42" s="31"/>
      <c r="H42" s="31"/>
      <c r="I42" s="31"/>
      <c r="J42" s="31"/>
      <c r="K42" s="31"/>
      <c r="L42" s="31"/>
      <c r="M42" s="31"/>
      <c r="N42" s="31"/>
      <c r="O42" s="31"/>
      <c r="P42" s="31"/>
      <c r="Q42" s="31"/>
      <c r="R42" s="31"/>
      <c r="S42" s="31"/>
      <c r="T42" s="31"/>
      <c r="U42" s="31"/>
      <c r="V42" s="31"/>
      <c r="W42" s="31"/>
      <c r="X42" s="31"/>
      <c r="Y42" s="31"/>
    </row>
    <row r="43" spans="1:25" ht="13.75" customHeight="1" x14ac:dyDescent="0.15">
      <c r="A43" s="89" t="s">
        <v>641</v>
      </c>
      <c r="B43" s="90">
        <f t="shared" si="3"/>
        <v>43</v>
      </c>
      <c r="C43" s="89" t="str">
        <f t="shared" si="2"/>
        <v>HS43</v>
      </c>
      <c r="D43" s="31"/>
      <c r="E43" s="31"/>
      <c r="F43" s="31"/>
      <c r="G43" s="31"/>
      <c r="H43" s="31"/>
      <c r="I43" s="31"/>
      <c r="J43" s="31"/>
      <c r="K43" s="31"/>
      <c r="L43" s="31"/>
      <c r="M43" s="31"/>
      <c r="N43" s="31"/>
      <c r="O43" s="31"/>
      <c r="P43" s="31"/>
      <c r="Q43" s="31"/>
      <c r="R43" s="31"/>
      <c r="S43" s="31"/>
      <c r="T43" s="31"/>
      <c r="U43" s="31"/>
      <c r="V43" s="31"/>
      <c r="W43" s="31"/>
      <c r="X43" s="31"/>
      <c r="Y43" s="31"/>
    </row>
    <row r="44" spans="1:25" ht="13.75" customHeight="1" x14ac:dyDescent="0.15">
      <c r="A44" s="89" t="s">
        <v>641</v>
      </c>
      <c r="B44" s="90">
        <f t="shared" si="3"/>
        <v>44</v>
      </c>
      <c r="C44" s="89" t="str">
        <f t="shared" si="2"/>
        <v>HS44</v>
      </c>
      <c r="D44" s="31"/>
      <c r="E44" s="31"/>
      <c r="F44" s="31"/>
      <c r="G44" s="31"/>
      <c r="H44" s="31"/>
      <c r="I44" s="31"/>
      <c r="J44" s="31"/>
      <c r="K44" s="31"/>
      <c r="L44" s="31"/>
      <c r="M44" s="31"/>
      <c r="N44" s="31"/>
      <c r="O44" s="31"/>
      <c r="P44" s="31"/>
      <c r="Q44" s="31"/>
      <c r="R44" s="31"/>
      <c r="S44" s="31"/>
      <c r="T44" s="31"/>
      <c r="U44" s="31"/>
      <c r="V44" s="31"/>
      <c r="W44" s="31"/>
      <c r="X44" s="31"/>
      <c r="Y44" s="31"/>
    </row>
    <row r="45" spans="1:25" ht="13.75" customHeight="1" x14ac:dyDescent="0.15">
      <c r="A45" s="89" t="s">
        <v>641</v>
      </c>
      <c r="B45" s="90">
        <f t="shared" si="3"/>
        <v>45</v>
      </c>
      <c r="C45" s="89" t="str">
        <f t="shared" si="2"/>
        <v>HS45</v>
      </c>
      <c r="D45" s="31"/>
      <c r="E45" s="31"/>
      <c r="F45" s="31"/>
      <c r="G45" s="31"/>
      <c r="H45" s="31"/>
      <c r="I45" s="31"/>
      <c r="J45" s="31"/>
      <c r="K45" s="31"/>
      <c r="L45" s="31"/>
      <c r="M45" s="31"/>
      <c r="N45" s="31"/>
      <c r="O45" s="31"/>
      <c r="P45" s="31"/>
      <c r="Q45" s="31"/>
      <c r="R45" s="31"/>
      <c r="S45" s="31"/>
      <c r="T45" s="31"/>
      <c r="U45" s="31"/>
      <c r="V45" s="31"/>
      <c r="W45" s="31"/>
      <c r="X45" s="31"/>
      <c r="Y45" s="31"/>
    </row>
    <row r="46" spans="1:25" ht="13.75" customHeight="1" x14ac:dyDescent="0.15">
      <c r="A46" s="89" t="s">
        <v>641</v>
      </c>
      <c r="B46" s="90">
        <f t="shared" si="3"/>
        <v>46</v>
      </c>
      <c r="C46" s="89" t="str">
        <f t="shared" si="2"/>
        <v>HS46</v>
      </c>
      <c r="D46" s="31"/>
      <c r="E46" s="31"/>
      <c r="F46" s="31"/>
      <c r="G46" s="31"/>
      <c r="H46" s="31"/>
      <c r="I46" s="31"/>
      <c r="J46" s="31"/>
      <c r="K46" s="31"/>
      <c r="L46" s="31"/>
      <c r="M46" s="31"/>
      <c r="N46" s="31"/>
      <c r="O46" s="31"/>
      <c r="P46" s="31"/>
      <c r="Q46" s="31"/>
      <c r="R46" s="31"/>
      <c r="S46" s="31"/>
      <c r="T46" s="31"/>
      <c r="U46" s="31"/>
      <c r="V46" s="31"/>
      <c r="W46" s="31"/>
      <c r="X46" s="31"/>
      <c r="Y46" s="31"/>
    </row>
    <row r="47" spans="1:25" ht="13.75" customHeight="1" x14ac:dyDescent="0.15">
      <c r="A47" s="89" t="s">
        <v>641</v>
      </c>
      <c r="B47" s="90">
        <f t="shared" si="3"/>
        <v>47</v>
      </c>
      <c r="C47" s="89" t="str">
        <f t="shared" si="2"/>
        <v>HS47</v>
      </c>
      <c r="D47" s="31"/>
      <c r="E47" s="31"/>
      <c r="F47" s="31"/>
      <c r="G47" s="31"/>
      <c r="H47" s="31"/>
      <c r="I47" s="31"/>
      <c r="J47" s="31"/>
      <c r="K47" s="31"/>
      <c r="L47" s="31"/>
      <c r="M47" s="31"/>
      <c r="N47" s="31"/>
      <c r="O47" s="31"/>
      <c r="P47" s="31"/>
      <c r="Q47" s="31"/>
      <c r="R47" s="31"/>
      <c r="S47" s="31"/>
      <c r="T47" s="31"/>
      <c r="U47" s="31"/>
      <c r="V47" s="31"/>
      <c r="W47" s="31"/>
      <c r="X47" s="31"/>
      <c r="Y47" s="31"/>
    </row>
    <row r="48" spans="1:25" ht="13.75" customHeight="1" x14ac:dyDescent="0.15">
      <c r="A48" s="89" t="s">
        <v>641</v>
      </c>
      <c r="B48" s="90">
        <f t="shared" si="3"/>
        <v>48</v>
      </c>
      <c r="C48" s="89" t="str">
        <f t="shared" si="2"/>
        <v>HS48</v>
      </c>
      <c r="D48" s="31"/>
      <c r="E48" s="31"/>
      <c r="F48" s="31"/>
      <c r="G48" s="31"/>
      <c r="H48" s="31"/>
      <c r="I48" s="31"/>
      <c r="J48" s="31"/>
      <c r="K48" s="31"/>
      <c r="L48" s="31"/>
      <c r="M48" s="31"/>
      <c r="N48" s="31"/>
      <c r="O48" s="31"/>
      <c r="P48" s="31"/>
      <c r="Q48" s="31"/>
      <c r="R48" s="31"/>
      <c r="S48" s="31"/>
      <c r="T48" s="31"/>
      <c r="U48" s="31"/>
      <c r="V48" s="31"/>
      <c r="W48" s="31"/>
      <c r="X48" s="31"/>
      <c r="Y48" s="31"/>
    </row>
    <row r="49" spans="1:25" ht="13.75" customHeight="1" x14ac:dyDescent="0.15">
      <c r="A49" s="89" t="s">
        <v>641</v>
      </c>
      <c r="B49" s="90">
        <f t="shared" si="3"/>
        <v>49</v>
      </c>
      <c r="C49" s="89" t="str">
        <f t="shared" si="2"/>
        <v>HS49</v>
      </c>
      <c r="D49" s="31"/>
      <c r="E49" s="31"/>
      <c r="F49" s="31"/>
      <c r="G49" s="31"/>
      <c r="H49" s="31"/>
      <c r="I49" s="31"/>
      <c r="J49" s="31"/>
      <c r="K49" s="31"/>
      <c r="L49" s="31"/>
      <c r="M49" s="31"/>
      <c r="N49" s="31"/>
      <c r="O49" s="31"/>
      <c r="P49" s="31"/>
      <c r="Q49" s="31"/>
      <c r="R49" s="31"/>
      <c r="S49" s="31"/>
      <c r="T49" s="31"/>
      <c r="U49" s="31"/>
      <c r="V49" s="31"/>
      <c r="W49" s="31"/>
      <c r="X49" s="31"/>
      <c r="Y49" s="31"/>
    </row>
    <row r="50" spans="1:25" ht="13.75" customHeight="1" x14ac:dyDescent="0.15">
      <c r="A50" s="89" t="s">
        <v>641</v>
      </c>
      <c r="B50" s="90">
        <f t="shared" si="3"/>
        <v>50</v>
      </c>
      <c r="C50" s="89" t="str">
        <f t="shared" si="2"/>
        <v>HS50</v>
      </c>
      <c r="D50" s="31"/>
      <c r="E50" s="31"/>
      <c r="F50" s="31"/>
      <c r="G50" s="31"/>
      <c r="H50" s="31"/>
      <c r="I50" s="31"/>
      <c r="J50" s="31"/>
      <c r="K50" s="31"/>
      <c r="L50" s="31"/>
      <c r="M50" s="31"/>
      <c r="N50" s="31"/>
      <c r="O50" s="31"/>
      <c r="P50" s="31"/>
      <c r="Q50" s="31"/>
      <c r="R50" s="31"/>
      <c r="S50" s="31"/>
      <c r="T50" s="31"/>
      <c r="U50" s="31"/>
      <c r="V50" s="31"/>
      <c r="W50" s="31"/>
      <c r="X50" s="31"/>
      <c r="Y50" s="31"/>
    </row>
    <row r="51" spans="1:25" ht="13.75" customHeight="1" x14ac:dyDescent="0.15">
      <c r="A51" s="89" t="s">
        <v>641</v>
      </c>
      <c r="B51" s="90">
        <f t="shared" si="3"/>
        <v>51</v>
      </c>
      <c r="C51" s="89" t="str">
        <f t="shared" si="2"/>
        <v>HS51</v>
      </c>
      <c r="D51" s="31"/>
      <c r="E51" s="31"/>
      <c r="F51" s="31"/>
      <c r="G51" s="31"/>
      <c r="H51" s="31"/>
      <c r="I51" s="31"/>
      <c r="J51" s="31"/>
      <c r="K51" s="31"/>
      <c r="L51" s="31"/>
      <c r="M51" s="31"/>
      <c r="N51" s="31"/>
      <c r="O51" s="31"/>
      <c r="P51" s="31"/>
      <c r="Q51" s="31"/>
      <c r="R51" s="31"/>
      <c r="S51" s="31"/>
      <c r="T51" s="31"/>
      <c r="U51" s="31"/>
      <c r="V51" s="31"/>
      <c r="W51" s="31"/>
      <c r="X51" s="31"/>
      <c r="Y51" s="31"/>
    </row>
    <row r="52" spans="1:25" ht="13.75" customHeight="1" x14ac:dyDescent="0.15">
      <c r="A52" s="89" t="s">
        <v>641</v>
      </c>
      <c r="B52" s="90">
        <f t="shared" si="3"/>
        <v>52</v>
      </c>
      <c r="C52" s="89" t="str">
        <f t="shared" si="2"/>
        <v>HS52</v>
      </c>
      <c r="D52" s="31"/>
      <c r="E52" s="31"/>
      <c r="F52" s="31"/>
      <c r="G52" s="31"/>
      <c r="H52" s="31"/>
      <c r="I52" s="31"/>
      <c r="J52" s="31"/>
      <c r="K52" s="31"/>
      <c r="L52" s="31"/>
      <c r="M52" s="31"/>
      <c r="N52" s="31"/>
      <c r="O52" s="31"/>
      <c r="P52" s="31"/>
      <c r="Q52" s="31"/>
      <c r="R52" s="31"/>
      <c r="S52" s="31"/>
      <c r="T52" s="31"/>
      <c r="U52" s="31"/>
      <c r="V52" s="31"/>
      <c r="W52" s="31"/>
      <c r="X52" s="31"/>
      <c r="Y52" s="31"/>
    </row>
    <row r="53" spans="1:25" ht="13.75" customHeight="1" x14ac:dyDescent="0.15">
      <c r="A53" s="89" t="s">
        <v>641</v>
      </c>
      <c r="B53" s="90">
        <f t="shared" si="3"/>
        <v>53</v>
      </c>
      <c r="C53" s="89" t="str">
        <f t="shared" si="2"/>
        <v>HS53</v>
      </c>
      <c r="D53" s="31"/>
      <c r="E53" s="31"/>
      <c r="F53" s="31"/>
      <c r="G53" s="31"/>
      <c r="H53" s="31"/>
      <c r="I53" s="31"/>
      <c r="J53" s="31"/>
      <c r="K53" s="31"/>
      <c r="L53" s="31"/>
      <c r="M53" s="31"/>
      <c r="N53" s="31"/>
      <c r="O53" s="31"/>
      <c r="P53" s="31"/>
      <c r="Q53" s="31"/>
      <c r="R53" s="31"/>
      <c r="S53" s="31"/>
      <c r="T53" s="31"/>
      <c r="U53" s="31"/>
      <c r="V53" s="31"/>
      <c r="W53" s="31"/>
      <c r="X53" s="31"/>
      <c r="Y53" s="31"/>
    </row>
    <row r="54" spans="1:25" ht="13.75" customHeight="1" x14ac:dyDescent="0.15">
      <c r="A54" s="89" t="s">
        <v>641</v>
      </c>
      <c r="B54" s="90">
        <f t="shared" si="3"/>
        <v>54</v>
      </c>
      <c r="C54" s="89" t="str">
        <f t="shared" si="2"/>
        <v>HS54</v>
      </c>
      <c r="D54" s="31"/>
      <c r="E54" s="31"/>
      <c r="F54" s="31"/>
      <c r="G54" s="31"/>
      <c r="H54" s="31"/>
      <c r="I54" s="31"/>
      <c r="J54" s="31"/>
      <c r="K54" s="31"/>
      <c r="L54" s="31"/>
      <c r="M54" s="31"/>
      <c r="N54" s="31"/>
      <c r="O54" s="31"/>
      <c r="P54" s="31"/>
      <c r="Q54" s="31"/>
      <c r="R54" s="31"/>
      <c r="S54" s="31"/>
      <c r="T54" s="31"/>
      <c r="U54" s="31"/>
      <c r="V54" s="31"/>
      <c r="W54" s="31"/>
      <c r="X54" s="31"/>
      <c r="Y54" s="31"/>
    </row>
    <row r="55" spans="1:25" ht="13.75" customHeight="1" x14ac:dyDescent="0.15">
      <c r="A55" s="89" t="s">
        <v>641</v>
      </c>
      <c r="B55" s="90">
        <f t="shared" si="3"/>
        <v>55</v>
      </c>
      <c r="C55" s="89" t="str">
        <f t="shared" si="2"/>
        <v>HS55</v>
      </c>
      <c r="D55" s="31"/>
      <c r="E55" s="31"/>
      <c r="F55" s="31"/>
      <c r="G55" s="31"/>
      <c r="H55" s="31"/>
      <c r="I55" s="31"/>
      <c r="J55" s="31"/>
      <c r="K55" s="31"/>
      <c r="L55" s="31"/>
      <c r="M55" s="31"/>
      <c r="N55" s="31"/>
      <c r="O55" s="31"/>
      <c r="P55" s="31"/>
      <c r="Q55" s="31"/>
      <c r="R55" s="31"/>
      <c r="S55" s="31"/>
      <c r="T55" s="31"/>
      <c r="U55" s="31"/>
      <c r="V55" s="31"/>
      <c r="W55" s="31"/>
      <c r="X55" s="31"/>
      <c r="Y55" s="31"/>
    </row>
    <row r="56" spans="1:25" ht="13.75" customHeight="1" x14ac:dyDescent="0.15">
      <c r="A56" s="89" t="s">
        <v>641</v>
      </c>
      <c r="B56" s="90">
        <f t="shared" si="3"/>
        <v>56</v>
      </c>
      <c r="C56" s="89" t="str">
        <f t="shared" si="2"/>
        <v>HS56</v>
      </c>
      <c r="D56" s="31"/>
      <c r="E56" s="31"/>
      <c r="F56" s="31"/>
      <c r="G56" s="31"/>
      <c r="H56" s="31"/>
      <c r="I56" s="31"/>
      <c r="J56" s="31"/>
      <c r="K56" s="31"/>
      <c r="L56" s="31"/>
      <c r="M56" s="31"/>
      <c r="N56" s="31"/>
      <c r="O56" s="31"/>
      <c r="P56" s="31"/>
      <c r="Q56" s="31"/>
      <c r="R56" s="31"/>
      <c r="S56" s="31"/>
      <c r="T56" s="31"/>
      <c r="U56" s="31"/>
      <c r="V56" s="31"/>
      <c r="W56" s="31"/>
      <c r="X56" s="31"/>
      <c r="Y56" s="31"/>
    </row>
    <row r="57" spans="1:25" ht="13.75" customHeight="1" x14ac:dyDescent="0.15">
      <c r="A57" s="89" t="s">
        <v>641</v>
      </c>
      <c r="B57" s="90">
        <f t="shared" si="3"/>
        <v>57</v>
      </c>
      <c r="C57" s="89" t="str">
        <f t="shared" si="2"/>
        <v>HS57</v>
      </c>
      <c r="D57" s="31"/>
      <c r="E57" s="31"/>
      <c r="F57" s="31"/>
      <c r="G57" s="31"/>
      <c r="H57" s="31"/>
      <c r="I57" s="31"/>
      <c r="J57" s="31"/>
      <c r="K57" s="31"/>
      <c r="L57" s="31"/>
      <c r="M57" s="31"/>
      <c r="N57" s="31"/>
      <c r="O57" s="31"/>
      <c r="P57" s="31"/>
      <c r="Q57" s="31"/>
      <c r="R57" s="31"/>
      <c r="S57" s="31"/>
      <c r="T57" s="31"/>
      <c r="U57" s="31"/>
      <c r="V57" s="31"/>
      <c r="W57" s="31"/>
      <c r="X57" s="31"/>
      <c r="Y57" s="31"/>
    </row>
    <row r="58" spans="1:25" ht="13.75" customHeight="1" x14ac:dyDescent="0.15">
      <c r="A58" s="89" t="s">
        <v>641</v>
      </c>
      <c r="B58" s="90">
        <f t="shared" si="3"/>
        <v>58</v>
      </c>
      <c r="C58" s="89" t="str">
        <f t="shared" si="2"/>
        <v>HS58</v>
      </c>
      <c r="D58" s="31"/>
      <c r="E58" s="31"/>
      <c r="F58" s="31"/>
      <c r="G58" s="31"/>
      <c r="H58" s="31"/>
      <c r="I58" s="31"/>
      <c r="J58" s="31"/>
      <c r="K58" s="31"/>
      <c r="L58" s="31"/>
      <c r="M58" s="31"/>
      <c r="N58" s="31"/>
      <c r="O58" s="31"/>
      <c r="P58" s="31"/>
      <c r="Q58" s="31"/>
      <c r="R58" s="31"/>
      <c r="S58" s="31"/>
      <c r="T58" s="31"/>
      <c r="U58" s="31"/>
      <c r="V58" s="31"/>
      <c r="W58" s="31"/>
      <c r="X58" s="31"/>
      <c r="Y58" s="31"/>
    </row>
    <row r="59" spans="1:25" ht="13.75" customHeight="1" x14ac:dyDescent="0.15">
      <c r="A59" s="89" t="s">
        <v>641</v>
      </c>
      <c r="B59" s="90">
        <f t="shared" si="3"/>
        <v>59</v>
      </c>
      <c r="C59" s="89" t="str">
        <f t="shared" si="2"/>
        <v>HS59</v>
      </c>
      <c r="D59" s="31"/>
      <c r="E59" s="31"/>
      <c r="F59" s="31"/>
      <c r="G59" s="31"/>
      <c r="H59" s="31"/>
      <c r="I59" s="31"/>
      <c r="J59" s="31"/>
      <c r="K59" s="31"/>
      <c r="L59" s="31"/>
      <c r="M59" s="31"/>
      <c r="N59" s="31"/>
      <c r="O59" s="31"/>
      <c r="P59" s="31"/>
      <c r="Q59" s="31"/>
      <c r="R59" s="31"/>
      <c r="S59" s="31"/>
      <c r="T59" s="31"/>
      <c r="U59" s="31"/>
      <c r="V59" s="31"/>
      <c r="W59" s="31"/>
      <c r="X59" s="31"/>
      <c r="Y59" s="31"/>
    </row>
    <row r="60" spans="1:25" ht="13.75" customHeight="1" x14ac:dyDescent="0.15">
      <c r="A60" s="89" t="s">
        <v>641</v>
      </c>
      <c r="B60" s="90">
        <f t="shared" si="3"/>
        <v>60</v>
      </c>
      <c r="C60" s="89" t="str">
        <f t="shared" si="2"/>
        <v>HS60</v>
      </c>
      <c r="D60" s="31"/>
      <c r="E60" s="31"/>
      <c r="F60" s="31"/>
      <c r="G60" s="31"/>
      <c r="H60" s="31"/>
      <c r="I60" s="31"/>
      <c r="J60" s="31"/>
      <c r="K60" s="31"/>
      <c r="L60" s="31"/>
      <c r="M60" s="31"/>
      <c r="N60" s="31"/>
      <c r="O60" s="31"/>
      <c r="P60" s="31"/>
      <c r="Q60" s="31"/>
      <c r="R60" s="31"/>
      <c r="S60" s="31"/>
      <c r="T60" s="31"/>
      <c r="U60" s="31"/>
      <c r="V60" s="31"/>
      <c r="W60" s="31"/>
      <c r="X60" s="31"/>
      <c r="Y60" s="31"/>
    </row>
    <row r="61" spans="1:25" ht="13.75" customHeight="1" x14ac:dyDescent="0.15">
      <c r="A61" s="89" t="s">
        <v>641</v>
      </c>
      <c r="B61" s="90">
        <f t="shared" si="3"/>
        <v>61</v>
      </c>
      <c r="C61" s="89" t="str">
        <f t="shared" si="2"/>
        <v>HS61</v>
      </c>
      <c r="D61" s="31"/>
      <c r="E61" s="31"/>
      <c r="F61" s="31"/>
      <c r="G61" s="31"/>
      <c r="H61" s="31"/>
      <c r="I61" s="31"/>
      <c r="J61" s="31"/>
      <c r="K61" s="31"/>
      <c r="L61" s="31"/>
      <c r="M61" s="31"/>
      <c r="N61" s="31"/>
      <c r="O61" s="31"/>
      <c r="P61" s="31"/>
      <c r="Q61" s="31"/>
      <c r="R61" s="31"/>
      <c r="S61" s="31"/>
      <c r="T61" s="31"/>
      <c r="U61" s="31"/>
      <c r="V61" s="31"/>
      <c r="W61" s="31"/>
      <c r="X61" s="31"/>
      <c r="Y61" s="31"/>
    </row>
    <row r="62" spans="1:25" ht="13.75" customHeight="1" x14ac:dyDescent="0.15">
      <c r="A62" s="89" t="s">
        <v>641</v>
      </c>
      <c r="B62" s="90">
        <f t="shared" si="3"/>
        <v>62</v>
      </c>
      <c r="C62" s="89" t="str">
        <f t="shared" si="2"/>
        <v>HS62</v>
      </c>
      <c r="D62" s="31"/>
      <c r="E62" s="31"/>
      <c r="F62" s="31"/>
      <c r="G62" s="31"/>
      <c r="H62" s="31"/>
      <c r="I62" s="31"/>
      <c r="J62" s="31"/>
      <c r="K62" s="31"/>
      <c r="L62" s="31"/>
      <c r="M62" s="31"/>
      <c r="N62" s="31"/>
      <c r="O62" s="31"/>
      <c r="P62" s="31"/>
      <c r="Q62" s="31"/>
      <c r="R62" s="31"/>
      <c r="S62" s="31"/>
      <c r="T62" s="31"/>
      <c r="U62" s="31"/>
      <c r="V62" s="31"/>
      <c r="W62" s="31"/>
      <c r="X62" s="31"/>
      <c r="Y62" s="31"/>
    </row>
    <row r="63" spans="1:25" ht="13.75" customHeight="1" x14ac:dyDescent="0.15">
      <c r="A63" s="89" t="s">
        <v>641</v>
      </c>
      <c r="B63" s="90">
        <f t="shared" si="3"/>
        <v>63</v>
      </c>
      <c r="C63" s="89" t="str">
        <f t="shared" si="2"/>
        <v>HS63</v>
      </c>
      <c r="D63" s="31"/>
      <c r="E63" s="31"/>
      <c r="F63" s="31"/>
      <c r="G63" s="31"/>
      <c r="H63" s="31"/>
      <c r="I63" s="31"/>
      <c r="J63" s="31"/>
      <c r="K63" s="31"/>
      <c r="L63" s="31"/>
      <c r="M63" s="31"/>
      <c r="N63" s="31"/>
      <c r="O63" s="31"/>
      <c r="P63" s="31"/>
      <c r="Q63" s="31"/>
      <c r="R63" s="31"/>
      <c r="S63" s="31"/>
      <c r="T63" s="31"/>
      <c r="U63" s="31"/>
      <c r="V63" s="31"/>
      <c r="W63" s="31"/>
      <c r="X63" s="31"/>
      <c r="Y63" s="31"/>
    </row>
    <row r="64" spans="1:25" ht="13.75" customHeight="1" x14ac:dyDescent="0.15">
      <c r="A64" s="89" t="s">
        <v>641</v>
      </c>
      <c r="B64" s="90">
        <f t="shared" si="3"/>
        <v>64</v>
      </c>
      <c r="C64" s="89" t="str">
        <f t="shared" si="2"/>
        <v>HS64</v>
      </c>
      <c r="D64" s="31"/>
      <c r="E64" s="31"/>
      <c r="F64" s="31"/>
      <c r="G64" s="31"/>
      <c r="H64" s="31"/>
      <c r="I64" s="31"/>
      <c r="J64" s="31"/>
      <c r="K64" s="31"/>
      <c r="L64" s="31"/>
      <c r="M64" s="31"/>
      <c r="N64" s="31"/>
      <c r="O64" s="31"/>
      <c r="P64" s="31"/>
      <c r="Q64" s="31"/>
      <c r="R64" s="31"/>
      <c r="S64" s="31"/>
      <c r="T64" s="31"/>
      <c r="U64" s="31"/>
      <c r="V64" s="31"/>
      <c r="W64" s="31"/>
      <c r="X64" s="31"/>
      <c r="Y64" s="31"/>
    </row>
    <row r="65" spans="1:25" ht="13.75" customHeight="1" x14ac:dyDescent="0.15">
      <c r="A65" s="89" t="s">
        <v>641</v>
      </c>
      <c r="B65" s="90">
        <f t="shared" si="3"/>
        <v>65</v>
      </c>
      <c r="C65" s="89" t="str">
        <f t="shared" ref="C65:C96" si="4">_xlfn.CONCAT(A65,B65)</f>
        <v>HS65</v>
      </c>
      <c r="D65" s="31"/>
      <c r="E65" s="31"/>
      <c r="F65" s="31"/>
      <c r="G65" s="31"/>
      <c r="H65" s="31"/>
      <c r="I65" s="31"/>
      <c r="J65" s="31"/>
      <c r="K65" s="31"/>
      <c r="L65" s="31"/>
      <c r="M65" s="31"/>
      <c r="N65" s="31"/>
      <c r="O65" s="31"/>
      <c r="P65" s="31"/>
      <c r="Q65" s="31"/>
      <c r="R65" s="31"/>
      <c r="S65" s="31"/>
      <c r="T65" s="31"/>
      <c r="U65" s="31"/>
      <c r="V65" s="31"/>
      <c r="W65" s="31"/>
      <c r="X65" s="31"/>
      <c r="Y65" s="31"/>
    </row>
    <row r="66" spans="1:25" ht="13.75" customHeight="1" x14ac:dyDescent="0.15">
      <c r="A66" s="89" t="s">
        <v>641</v>
      </c>
      <c r="B66" s="90">
        <f t="shared" ref="B66:B99" si="5">B65+1</f>
        <v>66</v>
      </c>
      <c r="C66" s="89" t="str">
        <f t="shared" si="4"/>
        <v>HS66</v>
      </c>
      <c r="D66" s="31"/>
      <c r="E66" s="31"/>
      <c r="F66" s="31"/>
      <c r="G66" s="31"/>
      <c r="H66" s="31"/>
      <c r="I66" s="31"/>
      <c r="J66" s="31"/>
      <c r="K66" s="31"/>
      <c r="L66" s="31"/>
      <c r="M66" s="31"/>
      <c r="N66" s="31"/>
      <c r="O66" s="31"/>
      <c r="P66" s="31"/>
      <c r="Q66" s="31"/>
      <c r="R66" s="31"/>
      <c r="S66" s="31"/>
      <c r="T66" s="31"/>
      <c r="U66" s="31"/>
      <c r="V66" s="31"/>
      <c r="W66" s="31"/>
      <c r="X66" s="31"/>
      <c r="Y66" s="31"/>
    </row>
    <row r="67" spans="1:25" ht="13.75" customHeight="1" x14ac:dyDescent="0.15">
      <c r="A67" s="89" t="s">
        <v>641</v>
      </c>
      <c r="B67" s="90">
        <f t="shared" si="5"/>
        <v>67</v>
      </c>
      <c r="C67" s="89" t="str">
        <f t="shared" si="4"/>
        <v>HS67</v>
      </c>
      <c r="D67" s="31"/>
      <c r="E67" s="31"/>
      <c r="F67" s="31"/>
      <c r="G67" s="31"/>
      <c r="H67" s="31"/>
      <c r="I67" s="31"/>
      <c r="J67" s="31"/>
      <c r="K67" s="31"/>
      <c r="L67" s="31"/>
      <c r="M67" s="31"/>
      <c r="N67" s="31"/>
      <c r="O67" s="31"/>
      <c r="P67" s="31"/>
      <c r="Q67" s="31"/>
      <c r="R67" s="31"/>
      <c r="S67" s="31"/>
      <c r="T67" s="31"/>
      <c r="U67" s="31"/>
      <c r="V67" s="31"/>
      <c r="W67" s="31"/>
      <c r="X67" s="31"/>
      <c r="Y67" s="31"/>
    </row>
    <row r="68" spans="1:25" ht="13.75" customHeight="1" x14ac:dyDescent="0.15">
      <c r="A68" s="89" t="s">
        <v>641</v>
      </c>
      <c r="B68" s="90">
        <f t="shared" si="5"/>
        <v>68</v>
      </c>
      <c r="C68" s="89" t="str">
        <f t="shared" si="4"/>
        <v>HS68</v>
      </c>
      <c r="D68" s="31"/>
      <c r="E68" s="31"/>
      <c r="F68" s="31"/>
      <c r="G68" s="31"/>
      <c r="H68" s="31"/>
      <c r="I68" s="31"/>
      <c r="J68" s="31"/>
      <c r="K68" s="31"/>
      <c r="L68" s="31"/>
      <c r="M68" s="31"/>
      <c r="N68" s="31"/>
      <c r="O68" s="31"/>
      <c r="P68" s="31"/>
      <c r="Q68" s="31"/>
      <c r="R68" s="31"/>
      <c r="S68" s="31"/>
      <c r="T68" s="31"/>
      <c r="U68" s="31"/>
      <c r="V68" s="31"/>
      <c r="W68" s="31"/>
      <c r="X68" s="31"/>
      <c r="Y68" s="31"/>
    </row>
    <row r="69" spans="1:25" ht="13.75" customHeight="1" x14ac:dyDescent="0.15">
      <c r="A69" s="89" t="s">
        <v>641</v>
      </c>
      <c r="B69" s="90">
        <f t="shared" si="5"/>
        <v>69</v>
      </c>
      <c r="C69" s="89" t="str">
        <f t="shared" si="4"/>
        <v>HS69</v>
      </c>
      <c r="D69" s="31"/>
      <c r="E69" s="31"/>
      <c r="F69" s="31"/>
      <c r="G69" s="31"/>
      <c r="H69" s="31"/>
      <c r="I69" s="31"/>
      <c r="J69" s="31"/>
      <c r="K69" s="31"/>
      <c r="L69" s="31"/>
      <c r="M69" s="31"/>
      <c r="N69" s="31"/>
      <c r="O69" s="31"/>
      <c r="P69" s="31"/>
      <c r="Q69" s="31"/>
      <c r="R69" s="31"/>
      <c r="S69" s="31"/>
      <c r="T69" s="31"/>
      <c r="U69" s="31"/>
      <c r="V69" s="31"/>
      <c r="W69" s="31"/>
      <c r="X69" s="31"/>
      <c r="Y69" s="31"/>
    </row>
    <row r="70" spans="1:25" ht="13.75" customHeight="1" x14ac:dyDescent="0.15">
      <c r="A70" s="89" t="s">
        <v>641</v>
      </c>
      <c r="B70" s="90">
        <f t="shared" si="5"/>
        <v>70</v>
      </c>
      <c r="C70" s="89" t="str">
        <f t="shared" si="4"/>
        <v>HS70</v>
      </c>
      <c r="D70" s="31"/>
      <c r="E70" s="31"/>
      <c r="F70" s="31"/>
      <c r="G70" s="31"/>
      <c r="H70" s="31"/>
      <c r="I70" s="31"/>
      <c r="J70" s="31"/>
      <c r="K70" s="31"/>
      <c r="L70" s="31"/>
      <c r="M70" s="31"/>
      <c r="N70" s="31"/>
      <c r="O70" s="31"/>
      <c r="P70" s="31"/>
      <c r="Q70" s="31"/>
      <c r="R70" s="31"/>
      <c r="S70" s="31"/>
      <c r="T70" s="31"/>
      <c r="U70" s="31"/>
      <c r="V70" s="31"/>
      <c r="W70" s="31"/>
      <c r="X70" s="31"/>
      <c r="Y70" s="31"/>
    </row>
    <row r="71" spans="1:25" ht="13.75" customHeight="1" x14ac:dyDescent="0.15">
      <c r="A71" s="89" t="s">
        <v>641</v>
      </c>
      <c r="B71" s="90">
        <f t="shared" si="5"/>
        <v>71</v>
      </c>
      <c r="C71" s="89" t="str">
        <f t="shared" si="4"/>
        <v>HS71</v>
      </c>
      <c r="D71" s="31"/>
      <c r="E71" s="31"/>
      <c r="F71" s="31"/>
      <c r="G71" s="31"/>
      <c r="H71" s="31"/>
      <c r="I71" s="31"/>
      <c r="J71" s="31"/>
      <c r="K71" s="31"/>
      <c r="L71" s="31"/>
      <c r="M71" s="31"/>
      <c r="N71" s="31"/>
      <c r="O71" s="31"/>
      <c r="P71" s="31"/>
      <c r="Q71" s="31"/>
      <c r="R71" s="31"/>
      <c r="S71" s="31"/>
      <c r="T71" s="31"/>
      <c r="U71" s="31"/>
      <c r="V71" s="31"/>
      <c r="W71" s="31"/>
      <c r="X71" s="31"/>
      <c r="Y71" s="31"/>
    </row>
    <row r="72" spans="1:25" ht="13.75" customHeight="1" x14ac:dyDescent="0.15">
      <c r="A72" s="89" t="s">
        <v>641</v>
      </c>
      <c r="B72" s="90">
        <f t="shared" si="5"/>
        <v>72</v>
      </c>
      <c r="C72" s="89" t="str">
        <f t="shared" si="4"/>
        <v>HS72</v>
      </c>
      <c r="D72" s="31"/>
      <c r="E72" s="31"/>
      <c r="F72" s="31"/>
      <c r="G72" s="31"/>
      <c r="H72" s="31"/>
      <c r="I72" s="31"/>
      <c r="J72" s="31"/>
      <c r="K72" s="31"/>
      <c r="L72" s="31"/>
      <c r="M72" s="31"/>
      <c r="N72" s="31"/>
      <c r="O72" s="31"/>
      <c r="P72" s="31"/>
      <c r="Q72" s="31"/>
      <c r="R72" s="31"/>
      <c r="S72" s="31"/>
      <c r="T72" s="31"/>
      <c r="U72" s="31"/>
      <c r="V72" s="31"/>
      <c r="W72" s="31"/>
      <c r="X72" s="31"/>
      <c r="Y72" s="31"/>
    </row>
    <row r="73" spans="1:25" ht="13.75" customHeight="1" x14ac:dyDescent="0.15">
      <c r="A73" s="89" t="s">
        <v>641</v>
      </c>
      <c r="B73" s="90">
        <f t="shared" si="5"/>
        <v>73</v>
      </c>
      <c r="C73" s="89" t="str">
        <f t="shared" si="4"/>
        <v>HS73</v>
      </c>
      <c r="D73" s="31"/>
      <c r="E73" s="31"/>
      <c r="F73" s="31"/>
      <c r="G73" s="31"/>
      <c r="H73" s="31"/>
      <c r="I73" s="31"/>
      <c r="J73" s="31"/>
      <c r="K73" s="31"/>
      <c r="L73" s="31"/>
      <c r="M73" s="31"/>
      <c r="N73" s="31"/>
      <c r="O73" s="31"/>
      <c r="P73" s="31"/>
      <c r="Q73" s="31"/>
      <c r="R73" s="31"/>
      <c r="S73" s="31"/>
      <c r="T73" s="31"/>
      <c r="U73" s="31"/>
      <c r="V73" s="31"/>
      <c r="W73" s="31"/>
      <c r="X73" s="31"/>
      <c r="Y73" s="31"/>
    </row>
    <row r="74" spans="1:25" ht="13.75" customHeight="1" x14ac:dyDescent="0.15">
      <c r="A74" s="89" t="s">
        <v>641</v>
      </c>
      <c r="B74" s="90">
        <f t="shared" si="5"/>
        <v>74</v>
      </c>
      <c r="C74" s="89" t="str">
        <f t="shared" si="4"/>
        <v>HS74</v>
      </c>
      <c r="D74" s="31"/>
      <c r="E74" s="31"/>
      <c r="F74" s="31"/>
      <c r="G74" s="31"/>
      <c r="H74" s="31"/>
      <c r="I74" s="31"/>
      <c r="J74" s="31"/>
      <c r="K74" s="31"/>
      <c r="L74" s="31"/>
      <c r="M74" s="31"/>
      <c r="N74" s="31"/>
      <c r="O74" s="31"/>
      <c r="P74" s="31"/>
      <c r="Q74" s="31"/>
      <c r="R74" s="31"/>
      <c r="S74" s="31"/>
      <c r="T74" s="31"/>
      <c r="U74" s="31"/>
      <c r="V74" s="31"/>
      <c r="W74" s="31"/>
      <c r="X74" s="31"/>
      <c r="Y74" s="31"/>
    </row>
    <row r="75" spans="1:25" ht="13.75" customHeight="1" x14ac:dyDescent="0.15">
      <c r="A75" s="89" t="s">
        <v>641</v>
      </c>
      <c r="B75" s="90">
        <f t="shared" si="5"/>
        <v>75</v>
      </c>
      <c r="C75" s="89" t="str">
        <f t="shared" si="4"/>
        <v>HS75</v>
      </c>
      <c r="D75" s="31"/>
      <c r="E75" s="31"/>
      <c r="F75" s="31"/>
      <c r="G75" s="31"/>
      <c r="H75" s="31"/>
      <c r="I75" s="31"/>
      <c r="J75" s="31"/>
      <c r="K75" s="31"/>
      <c r="L75" s="31"/>
      <c r="M75" s="31"/>
      <c r="N75" s="31"/>
      <c r="O75" s="31"/>
      <c r="P75" s="31"/>
      <c r="Q75" s="31"/>
      <c r="R75" s="31"/>
      <c r="S75" s="31"/>
      <c r="T75" s="31"/>
      <c r="U75" s="31"/>
      <c r="V75" s="31"/>
      <c r="W75" s="31"/>
      <c r="X75" s="31"/>
      <c r="Y75" s="31"/>
    </row>
    <row r="76" spans="1:25" ht="13.75" customHeight="1" x14ac:dyDescent="0.15">
      <c r="A76" s="89" t="s">
        <v>641</v>
      </c>
      <c r="B76" s="90">
        <f t="shared" si="5"/>
        <v>76</v>
      </c>
      <c r="C76" s="89" t="str">
        <f t="shared" si="4"/>
        <v>HS76</v>
      </c>
      <c r="D76" s="31"/>
      <c r="E76" s="31"/>
      <c r="F76" s="31"/>
      <c r="G76" s="31"/>
      <c r="H76" s="31"/>
      <c r="I76" s="31"/>
      <c r="J76" s="31"/>
      <c r="K76" s="31"/>
      <c r="L76" s="31"/>
      <c r="M76" s="31"/>
      <c r="N76" s="31"/>
      <c r="O76" s="31"/>
      <c r="P76" s="31"/>
      <c r="Q76" s="31"/>
      <c r="R76" s="31"/>
      <c r="S76" s="31"/>
      <c r="T76" s="31"/>
      <c r="U76" s="31"/>
      <c r="V76" s="31"/>
      <c r="W76" s="31"/>
      <c r="X76" s="31"/>
      <c r="Y76" s="31"/>
    </row>
    <row r="77" spans="1:25" ht="13.75" customHeight="1" x14ac:dyDescent="0.15">
      <c r="A77" s="89" t="s">
        <v>641</v>
      </c>
      <c r="B77" s="90">
        <f t="shared" si="5"/>
        <v>77</v>
      </c>
      <c r="C77" s="89" t="str">
        <f t="shared" si="4"/>
        <v>HS77</v>
      </c>
      <c r="D77" s="31"/>
      <c r="E77" s="31"/>
      <c r="F77" s="31"/>
      <c r="G77" s="31"/>
      <c r="H77" s="31"/>
      <c r="I77" s="31"/>
      <c r="J77" s="31"/>
      <c r="K77" s="31"/>
      <c r="L77" s="31"/>
      <c r="M77" s="31"/>
      <c r="N77" s="31"/>
      <c r="O77" s="31"/>
      <c r="P77" s="31"/>
      <c r="Q77" s="31"/>
      <c r="R77" s="31"/>
      <c r="S77" s="31"/>
      <c r="T77" s="31"/>
      <c r="U77" s="31"/>
      <c r="V77" s="31"/>
      <c r="W77" s="31"/>
      <c r="X77" s="31"/>
      <c r="Y77" s="31"/>
    </row>
    <row r="78" spans="1:25" ht="13.75" customHeight="1" x14ac:dyDescent="0.15">
      <c r="A78" s="89" t="s">
        <v>641</v>
      </c>
      <c r="B78" s="90">
        <f t="shared" si="5"/>
        <v>78</v>
      </c>
      <c r="C78" s="89" t="str">
        <f t="shared" si="4"/>
        <v>HS78</v>
      </c>
      <c r="D78" s="31"/>
      <c r="E78" s="31"/>
      <c r="F78" s="31"/>
      <c r="G78" s="31"/>
      <c r="H78" s="31"/>
      <c r="I78" s="31"/>
      <c r="J78" s="31"/>
      <c r="K78" s="31"/>
      <c r="L78" s="31"/>
      <c r="M78" s="31"/>
      <c r="N78" s="31"/>
      <c r="O78" s="31"/>
      <c r="P78" s="31"/>
      <c r="Q78" s="31"/>
      <c r="R78" s="31"/>
      <c r="S78" s="31"/>
      <c r="T78" s="31"/>
      <c r="U78" s="31"/>
      <c r="V78" s="31"/>
      <c r="W78" s="31"/>
      <c r="X78" s="31"/>
      <c r="Y78" s="31"/>
    </row>
    <row r="79" spans="1:25" ht="13.75" customHeight="1" x14ac:dyDescent="0.15">
      <c r="A79" s="89" t="s">
        <v>641</v>
      </c>
      <c r="B79" s="90">
        <f t="shared" si="5"/>
        <v>79</v>
      </c>
      <c r="C79" s="89" t="str">
        <f t="shared" si="4"/>
        <v>HS79</v>
      </c>
      <c r="D79" s="31"/>
      <c r="E79" s="31"/>
      <c r="F79" s="31"/>
      <c r="G79" s="31"/>
      <c r="H79" s="31"/>
      <c r="I79" s="31"/>
      <c r="J79" s="31"/>
      <c r="K79" s="31"/>
      <c r="L79" s="31"/>
      <c r="M79" s="31"/>
      <c r="N79" s="31"/>
      <c r="O79" s="31"/>
      <c r="P79" s="31"/>
      <c r="Q79" s="31"/>
      <c r="R79" s="31"/>
      <c r="S79" s="31"/>
      <c r="T79" s="31"/>
      <c r="U79" s="31"/>
      <c r="V79" s="31"/>
      <c r="W79" s="31"/>
      <c r="X79" s="31"/>
      <c r="Y79" s="31"/>
    </row>
    <row r="80" spans="1:25" ht="13.75" customHeight="1" x14ac:dyDescent="0.15">
      <c r="A80" s="89" t="s">
        <v>641</v>
      </c>
      <c r="B80" s="90">
        <f t="shared" si="5"/>
        <v>80</v>
      </c>
      <c r="C80" s="89" t="str">
        <f t="shared" si="4"/>
        <v>HS80</v>
      </c>
      <c r="D80" s="31"/>
      <c r="E80" s="31"/>
      <c r="F80" s="31"/>
      <c r="G80" s="31"/>
      <c r="H80" s="31"/>
      <c r="I80" s="31"/>
      <c r="J80" s="31"/>
      <c r="K80" s="31"/>
      <c r="L80" s="31"/>
      <c r="M80" s="31"/>
      <c r="N80" s="31"/>
      <c r="O80" s="31"/>
      <c r="P80" s="31"/>
      <c r="Q80" s="31"/>
      <c r="R80" s="31"/>
      <c r="S80" s="31"/>
      <c r="T80" s="31"/>
      <c r="U80" s="31"/>
      <c r="V80" s="31"/>
      <c r="W80" s="31"/>
      <c r="X80" s="31"/>
      <c r="Y80" s="31"/>
    </row>
    <row r="81" spans="1:25" ht="13.75" customHeight="1" x14ac:dyDescent="0.15">
      <c r="A81" s="89" t="s">
        <v>641</v>
      </c>
      <c r="B81" s="90">
        <f t="shared" si="5"/>
        <v>81</v>
      </c>
      <c r="C81" s="89" t="str">
        <f t="shared" si="4"/>
        <v>HS81</v>
      </c>
      <c r="D81" s="31"/>
      <c r="E81" s="31"/>
      <c r="F81" s="31"/>
      <c r="G81" s="31"/>
      <c r="H81" s="31"/>
      <c r="I81" s="31"/>
      <c r="J81" s="31"/>
      <c r="K81" s="31"/>
      <c r="L81" s="31"/>
      <c r="M81" s="31"/>
      <c r="N81" s="31"/>
      <c r="O81" s="31"/>
      <c r="P81" s="31"/>
      <c r="Q81" s="31"/>
      <c r="R81" s="31"/>
      <c r="S81" s="31"/>
      <c r="T81" s="31"/>
      <c r="U81" s="31"/>
      <c r="V81" s="31"/>
      <c r="W81" s="31"/>
      <c r="X81" s="31"/>
      <c r="Y81" s="31"/>
    </row>
    <row r="82" spans="1:25" ht="13.75" customHeight="1" x14ac:dyDescent="0.15">
      <c r="A82" s="89" t="s">
        <v>641</v>
      </c>
      <c r="B82" s="90">
        <f t="shared" si="5"/>
        <v>82</v>
      </c>
      <c r="C82" s="89" t="str">
        <f t="shared" si="4"/>
        <v>HS82</v>
      </c>
      <c r="D82" s="31"/>
      <c r="E82" s="31"/>
      <c r="F82" s="31"/>
      <c r="G82" s="31"/>
      <c r="H82" s="31"/>
      <c r="I82" s="31"/>
      <c r="J82" s="31"/>
      <c r="K82" s="31"/>
      <c r="L82" s="31"/>
      <c r="M82" s="31"/>
      <c r="N82" s="31"/>
      <c r="O82" s="31"/>
      <c r="P82" s="31"/>
      <c r="Q82" s="31"/>
      <c r="R82" s="31"/>
      <c r="S82" s="31"/>
      <c r="T82" s="31"/>
      <c r="U82" s="31"/>
      <c r="V82" s="31"/>
      <c r="W82" s="31"/>
      <c r="X82" s="31"/>
      <c r="Y82" s="31"/>
    </row>
    <row r="83" spans="1:25" ht="13.75" customHeight="1" x14ac:dyDescent="0.15">
      <c r="A83" s="89" t="s">
        <v>641</v>
      </c>
      <c r="B83" s="90">
        <f t="shared" si="5"/>
        <v>83</v>
      </c>
      <c r="C83" s="89" t="str">
        <f t="shared" si="4"/>
        <v>HS83</v>
      </c>
      <c r="D83" s="31"/>
      <c r="E83" s="31"/>
      <c r="F83" s="31"/>
      <c r="G83" s="31"/>
      <c r="H83" s="31"/>
      <c r="I83" s="31"/>
      <c r="J83" s="31"/>
      <c r="K83" s="31"/>
      <c r="L83" s="31"/>
      <c r="M83" s="31"/>
      <c r="N83" s="31"/>
      <c r="O83" s="31"/>
      <c r="P83" s="31"/>
      <c r="Q83" s="31"/>
      <c r="R83" s="31"/>
      <c r="S83" s="31"/>
      <c r="T83" s="31"/>
      <c r="U83" s="31"/>
      <c r="V83" s="31"/>
      <c r="W83" s="31"/>
      <c r="X83" s="31"/>
      <c r="Y83" s="31"/>
    </row>
    <row r="84" spans="1:25" ht="13.75" customHeight="1" x14ac:dyDescent="0.15">
      <c r="A84" s="89" t="s">
        <v>641</v>
      </c>
      <c r="B84" s="90">
        <f t="shared" si="5"/>
        <v>84</v>
      </c>
      <c r="C84" s="89" t="str">
        <f t="shared" si="4"/>
        <v>HS84</v>
      </c>
      <c r="D84" s="31"/>
      <c r="E84" s="31"/>
      <c r="F84" s="31"/>
      <c r="G84" s="31"/>
      <c r="H84" s="31"/>
      <c r="I84" s="31"/>
      <c r="J84" s="31"/>
      <c r="K84" s="31"/>
      <c r="L84" s="31"/>
      <c r="M84" s="31"/>
      <c r="N84" s="31"/>
      <c r="O84" s="31"/>
      <c r="P84" s="31"/>
      <c r="Q84" s="31"/>
      <c r="R84" s="31"/>
      <c r="S84" s="31"/>
      <c r="T84" s="31"/>
      <c r="U84" s="31"/>
      <c r="V84" s="31"/>
      <c r="W84" s="31"/>
      <c r="X84" s="31"/>
      <c r="Y84" s="31"/>
    </row>
    <row r="85" spans="1:25" ht="13.75" customHeight="1" x14ac:dyDescent="0.15">
      <c r="A85" s="89" t="s">
        <v>641</v>
      </c>
      <c r="B85" s="90">
        <f t="shared" si="5"/>
        <v>85</v>
      </c>
      <c r="C85" s="89" t="str">
        <f t="shared" si="4"/>
        <v>HS85</v>
      </c>
      <c r="D85" s="31"/>
      <c r="E85" s="31"/>
      <c r="F85" s="31"/>
      <c r="G85" s="31"/>
      <c r="H85" s="31"/>
      <c r="I85" s="31"/>
      <c r="J85" s="31"/>
      <c r="K85" s="31"/>
      <c r="L85" s="31"/>
      <c r="M85" s="31"/>
      <c r="N85" s="31"/>
      <c r="O85" s="31"/>
      <c r="P85" s="31"/>
      <c r="Q85" s="31"/>
      <c r="R85" s="31"/>
      <c r="S85" s="31"/>
      <c r="T85" s="31"/>
      <c r="U85" s="31"/>
      <c r="V85" s="31"/>
      <c r="W85" s="31"/>
      <c r="X85" s="31"/>
      <c r="Y85" s="31"/>
    </row>
    <row r="86" spans="1:25" ht="13.75" customHeight="1" x14ac:dyDescent="0.15">
      <c r="A86" s="89" t="s">
        <v>641</v>
      </c>
      <c r="B86" s="90">
        <f t="shared" si="5"/>
        <v>86</v>
      </c>
      <c r="C86" s="89" t="str">
        <f t="shared" si="4"/>
        <v>HS86</v>
      </c>
      <c r="D86" s="31"/>
      <c r="E86" s="31"/>
      <c r="F86" s="31"/>
      <c r="G86" s="31"/>
      <c r="H86" s="31"/>
      <c r="I86" s="31"/>
      <c r="J86" s="31"/>
      <c r="K86" s="31"/>
      <c r="L86" s="31"/>
      <c r="M86" s="31"/>
      <c r="N86" s="31"/>
      <c r="O86" s="31"/>
      <c r="P86" s="31"/>
      <c r="Q86" s="31"/>
      <c r="R86" s="31"/>
      <c r="S86" s="31"/>
      <c r="T86" s="31"/>
      <c r="U86" s="31"/>
      <c r="V86" s="31"/>
      <c r="W86" s="31"/>
      <c r="X86" s="31"/>
      <c r="Y86" s="31"/>
    </row>
    <row r="87" spans="1:25" ht="13.75" customHeight="1" x14ac:dyDescent="0.15">
      <c r="A87" s="89" t="s">
        <v>641</v>
      </c>
      <c r="B87" s="90">
        <f t="shared" si="5"/>
        <v>87</v>
      </c>
      <c r="C87" s="89" t="str">
        <f t="shared" si="4"/>
        <v>HS87</v>
      </c>
      <c r="D87" s="31"/>
      <c r="E87" s="31"/>
      <c r="F87" s="31"/>
      <c r="G87" s="31"/>
      <c r="H87" s="31"/>
      <c r="I87" s="31"/>
      <c r="J87" s="31"/>
      <c r="K87" s="31"/>
      <c r="L87" s="31"/>
      <c r="M87" s="31"/>
      <c r="N87" s="31"/>
      <c r="O87" s="31"/>
      <c r="P87" s="31"/>
      <c r="Q87" s="31"/>
      <c r="R87" s="31"/>
      <c r="S87" s="31"/>
      <c r="T87" s="31"/>
      <c r="U87" s="31"/>
      <c r="V87" s="31"/>
      <c r="W87" s="31"/>
      <c r="X87" s="31"/>
      <c r="Y87" s="31"/>
    </row>
    <row r="88" spans="1:25" ht="13.75" customHeight="1" x14ac:dyDescent="0.15">
      <c r="A88" s="89" t="s">
        <v>641</v>
      </c>
      <c r="B88" s="90">
        <f t="shared" si="5"/>
        <v>88</v>
      </c>
      <c r="C88" s="89" t="str">
        <f t="shared" si="4"/>
        <v>HS88</v>
      </c>
      <c r="D88" s="31"/>
      <c r="E88" s="31"/>
      <c r="F88" s="31"/>
      <c r="G88" s="31"/>
      <c r="H88" s="31"/>
      <c r="I88" s="31"/>
      <c r="J88" s="31"/>
      <c r="K88" s="31"/>
      <c r="L88" s="31"/>
      <c r="M88" s="31"/>
      <c r="N88" s="31"/>
      <c r="O88" s="31"/>
      <c r="P88" s="31"/>
      <c r="Q88" s="31"/>
      <c r="R88" s="31"/>
      <c r="S88" s="31"/>
      <c r="T88" s="31"/>
      <c r="U88" s="31"/>
      <c r="V88" s="31"/>
      <c r="W88" s="31"/>
      <c r="X88" s="31"/>
      <c r="Y88" s="31"/>
    </row>
    <row r="89" spans="1:25" ht="13.75" customHeight="1" x14ac:dyDescent="0.15">
      <c r="A89" s="89" t="s">
        <v>641</v>
      </c>
      <c r="B89" s="90">
        <f t="shared" si="5"/>
        <v>89</v>
      </c>
      <c r="C89" s="89" t="str">
        <f t="shared" si="4"/>
        <v>HS89</v>
      </c>
      <c r="D89" s="31"/>
      <c r="E89" s="31"/>
      <c r="F89" s="31"/>
      <c r="G89" s="31"/>
      <c r="H89" s="31"/>
      <c r="I89" s="31"/>
      <c r="J89" s="31"/>
      <c r="K89" s="31"/>
      <c r="L89" s="31"/>
      <c r="M89" s="31"/>
      <c r="N89" s="31"/>
      <c r="O89" s="31"/>
      <c r="P89" s="31"/>
      <c r="Q89" s="31"/>
      <c r="R89" s="31"/>
      <c r="S89" s="31"/>
      <c r="T89" s="31"/>
      <c r="U89" s="31"/>
      <c r="V89" s="31"/>
      <c r="W89" s="31"/>
      <c r="X89" s="31"/>
      <c r="Y89" s="31"/>
    </row>
    <row r="90" spans="1:25" ht="13.75" customHeight="1" x14ac:dyDescent="0.15">
      <c r="A90" s="89" t="s">
        <v>641</v>
      </c>
      <c r="B90" s="90">
        <f t="shared" si="5"/>
        <v>90</v>
      </c>
      <c r="C90" s="89" t="str">
        <f t="shared" si="4"/>
        <v>HS90</v>
      </c>
      <c r="D90" s="31"/>
      <c r="E90" s="31"/>
      <c r="F90" s="31"/>
      <c r="G90" s="31"/>
      <c r="H90" s="31"/>
      <c r="I90" s="31"/>
      <c r="J90" s="31"/>
      <c r="K90" s="31"/>
      <c r="L90" s="31"/>
      <c r="M90" s="31"/>
      <c r="N90" s="31"/>
      <c r="O90" s="31"/>
      <c r="P90" s="31"/>
      <c r="Q90" s="31"/>
      <c r="R90" s="31"/>
      <c r="S90" s="31"/>
      <c r="T90" s="31"/>
      <c r="U90" s="31"/>
      <c r="V90" s="31"/>
      <c r="W90" s="31"/>
      <c r="X90" s="31"/>
      <c r="Y90" s="31"/>
    </row>
    <row r="91" spans="1:25" ht="13.75" customHeight="1" x14ac:dyDescent="0.15">
      <c r="A91" s="89" t="s">
        <v>641</v>
      </c>
      <c r="B91" s="90">
        <f t="shared" si="5"/>
        <v>91</v>
      </c>
      <c r="C91" s="89" t="str">
        <f t="shared" si="4"/>
        <v>HS91</v>
      </c>
      <c r="D91" s="31"/>
      <c r="E91" s="31"/>
      <c r="F91" s="31"/>
      <c r="G91" s="31"/>
      <c r="H91" s="31"/>
      <c r="I91" s="31"/>
      <c r="J91" s="31"/>
      <c r="K91" s="31"/>
      <c r="L91" s="31"/>
      <c r="M91" s="31"/>
      <c r="N91" s="31"/>
      <c r="O91" s="31"/>
      <c r="P91" s="31"/>
      <c r="Q91" s="31"/>
      <c r="R91" s="31"/>
      <c r="S91" s="31"/>
      <c r="T91" s="31"/>
      <c r="U91" s="31"/>
      <c r="V91" s="31"/>
      <c r="W91" s="31"/>
      <c r="X91" s="31"/>
      <c r="Y91" s="31"/>
    </row>
    <row r="92" spans="1:25" ht="13.75" customHeight="1" x14ac:dyDescent="0.15">
      <c r="A92" s="89" t="s">
        <v>641</v>
      </c>
      <c r="B92" s="90">
        <f t="shared" si="5"/>
        <v>92</v>
      </c>
      <c r="C92" s="89" t="str">
        <f t="shared" si="4"/>
        <v>HS92</v>
      </c>
      <c r="D92" s="31"/>
      <c r="E92" s="31"/>
      <c r="F92" s="31"/>
      <c r="G92" s="31"/>
      <c r="H92" s="31"/>
      <c r="I92" s="31"/>
      <c r="J92" s="31"/>
      <c r="K92" s="31"/>
      <c r="L92" s="31"/>
      <c r="M92" s="31"/>
      <c r="N92" s="31"/>
      <c r="O92" s="31"/>
      <c r="P92" s="31"/>
      <c r="Q92" s="31"/>
      <c r="R92" s="31"/>
      <c r="S92" s="31"/>
      <c r="T92" s="31"/>
      <c r="U92" s="31"/>
      <c r="V92" s="31"/>
      <c r="W92" s="31"/>
      <c r="X92" s="31"/>
      <c r="Y92" s="31"/>
    </row>
    <row r="93" spans="1:25" ht="13.75" customHeight="1" x14ac:dyDescent="0.15">
      <c r="A93" s="89" t="s">
        <v>641</v>
      </c>
      <c r="B93" s="90">
        <f t="shared" si="5"/>
        <v>93</v>
      </c>
      <c r="C93" s="89" t="str">
        <f t="shared" si="4"/>
        <v>HS93</v>
      </c>
      <c r="D93" s="31"/>
      <c r="E93" s="31"/>
      <c r="F93" s="31"/>
      <c r="G93" s="31"/>
      <c r="H93" s="31"/>
      <c r="I93" s="31"/>
      <c r="J93" s="31"/>
      <c r="K93" s="31"/>
      <c r="L93" s="31"/>
      <c r="M93" s="31"/>
      <c r="N93" s="31"/>
      <c r="O93" s="31"/>
      <c r="P93" s="31"/>
      <c r="Q93" s="31"/>
      <c r="R93" s="31"/>
      <c r="S93" s="31"/>
      <c r="T93" s="31"/>
      <c r="U93" s="31"/>
      <c r="V93" s="31"/>
      <c r="W93" s="31"/>
      <c r="X93" s="31"/>
      <c r="Y93" s="31"/>
    </row>
    <row r="94" spans="1:25" ht="13.75" customHeight="1" x14ac:dyDescent="0.15">
      <c r="A94" s="89" t="s">
        <v>641</v>
      </c>
      <c r="B94" s="90">
        <f t="shared" si="5"/>
        <v>94</v>
      </c>
      <c r="C94" s="89" t="str">
        <f t="shared" si="4"/>
        <v>HS94</v>
      </c>
      <c r="D94" s="31"/>
      <c r="E94" s="31"/>
      <c r="F94" s="31"/>
      <c r="G94" s="31"/>
      <c r="H94" s="31"/>
      <c r="I94" s="31"/>
      <c r="J94" s="31"/>
      <c r="K94" s="31"/>
      <c r="L94" s="31"/>
      <c r="M94" s="31"/>
      <c r="N94" s="31"/>
      <c r="O94" s="31"/>
      <c r="P94" s="31"/>
      <c r="Q94" s="31"/>
      <c r="R94" s="31"/>
      <c r="S94" s="31"/>
      <c r="T94" s="31"/>
      <c r="U94" s="31"/>
      <c r="V94" s="31"/>
      <c r="W94" s="31"/>
      <c r="X94" s="31"/>
      <c r="Y94" s="31"/>
    </row>
    <row r="95" spans="1:25" ht="13.75" customHeight="1" x14ac:dyDescent="0.15">
      <c r="A95" s="89" t="s">
        <v>641</v>
      </c>
      <c r="B95" s="90">
        <f t="shared" si="5"/>
        <v>95</v>
      </c>
      <c r="C95" s="89" t="str">
        <f t="shared" si="4"/>
        <v>HS95</v>
      </c>
      <c r="D95" s="31"/>
      <c r="E95" s="31"/>
      <c r="F95" s="31"/>
      <c r="G95" s="31"/>
      <c r="H95" s="31"/>
      <c r="I95" s="31"/>
      <c r="J95" s="31"/>
      <c r="K95" s="31"/>
      <c r="L95" s="31"/>
      <c r="M95" s="31"/>
      <c r="N95" s="31"/>
      <c r="O95" s="31"/>
      <c r="P95" s="31"/>
      <c r="Q95" s="31"/>
      <c r="R95" s="31"/>
      <c r="S95" s="31"/>
      <c r="T95" s="31"/>
      <c r="U95" s="31"/>
      <c r="V95" s="31"/>
      <c r="W95" s="31"/>
      <c r="X95" s="31"/>
      <c r="Y95" s="31"/>
    </row>
    <row r="96" spans="1:25" ht="13.75" customHeight="1" x14ac:dyDescent="0.15">
      <c r="A96" s="89" t="s">
        <v>641</v>
      </c>
      <c r="B96" s="90">
        <f t="shared" si="5"/>
        <v>96</v>
      </c>
      <c r="C96" s="89" t="str">
        <f t="shared" si="4"/>
        <v>HS96</v>
      </c>
      <c r="D96" s="31"/>
      <c r="E96" s="31"/>
      <c r="F96" s="31"/>
      <c r="G96" s="31"/>
      <c r="H96" s="31"/>
      <c r="I96" s="31"/>
      <c r="J96" s="31"/>
      <c r="K96" s="31"/>
      <c r="L96" s="31"/>
      <c r="M96" s="31"/>
      <c r="N96" s="31"/>
      <c r="O96" s="31"/>
      <c r="P96" s="31"/>
      <c r="Q96" s="31"/>
      <c r="R96" s="31"/>
      <c r="S96" s="31"/>
      <c r="T96" s="31"/>
      <c r="U96" s="31"/>
      <c r="V96" s="31"/>
      <c r="W96" s="31"/>
      <c r="X96" s="31"/>
      <c r="Y96" s="31"/>
    </row>
    <row r="97" spans="1:25" ht="13.75" customHeight="1" x14ac:dyDescent="0.15">
      <c r="A97" s="89" t="s">
        <v>641</v>
      </c>
      <c r="B97" s="90">
        <f t="shared" si="5"/>
        <v>97</v>
      </c>
      <c r="C97" s="89" t="str">
        <f t="shared" ref="C97:C128" si="6">_xlfn.CONCAT(A97,B97)</f>
        <v>HS97</v>
      </c>
      <c r="D97" s="31"/>
      <c r="E97" s="31"/>
      <c r="F97" s="31"/>
      <c r="G97" s="31"/>
      <c r="H97" s="31"/>
      <c r="I97" s="31"/>
      <c r="J97" s="31"/>
      <c r="K97" s="31"/>
      <c r="L97" s="31"/>
      <c r="M97" s="31"/>
      <c r="N97" s="31"/>
      <c r="O97" s="31"/>
      <c r="P97" s="31"/>
      <c r="Q97" s="31"/>
      <c r="R97" s="31"/>
      <c r="S97" s="31"/>
      <c r="T97" s="31"/>
      <c r="U97" s="31"/>
      <c r="V97" s="31"/>
      <c r="W97" s="31"/>
      <c r="X97" s="31"/>
      <c r="Y97" s="31"/>
    </row>
    <row r="98" spans="1:25" ht="13.75" customHeight="1" x14ac:dyDescent="0.15">
      <c r="A98" s="89" t="s">
        <v>641</v>
      </c>
      <c r="B98" s="90">
        <f t="shared" si="5"/>
        <v>98</v>
      </c>
      <c r="C98" s="89" t="str">
        <f t="shared" si="6"/>
        <v>HS98</v>
      </c>
      <c r="D98" s="31"/>
      <c r="E98" s="31"/>
      <c r="F98" s="31"/>
      <c r="G98" s="31"/>
      <c r="H98" s="31"/>
      <c r="I98" s="31"/>
      <c r="J98" s="31"/>
      <c r="K98" s="31"/>
      <c r="L98" s="31"/>
      <c r="M98" s="31"/>
      <c r="N98" s="31"/>
      <c r="O98" s="31"/>
      <c r="P98" s="31"/>
      <c r="Q98" s="31"/>
      <c r="R98" s="31"/>
      <c r="S98" s="31"/>
      <c r="T98" s="31"/>
      <c r="U98" s="31"/>
      <c r="V98" s="31"/>
      <c r="W98" s="31"/>
      <c r="X98" s="31"/>
      <c r="Y98" s="31"/>
    </row>
    <row r="99" spans="1:25" ht="13.75" customHeight="1" x14ac:dyDescent="0.15">
      <c r="A99" s="89" t="s">
        <v>641</v>
      </c>
      <c r="B99" s="90">
        <f t="shared" si="5"/>
        <v>99</v>
      </c>
      <c r="C99" s="89" t="str">
        <f t="shared" si="6"/>
        <v>HS99</v>
      </c>
      <c r="D99" s="31"/>
      <c r="E99" s="31"/>
      <c r="F99" s="31"/>
      <c r="G99" s="31"/>
      <c r="H99" s="31"/>
      <c r="I99" s="31"/>
      <c r="J99" s="31"/>
      <c r="K99" s="31"/>
      <c r="L99" s="31"/>
      <c r="M99" s="31"/>
      <c r="N99" s="31"/>
      <c r="O99" s="31"/>
      <c r="P99" s="31"/>
      <c r="Q99" s="31"/>
      <c r="R99" s="31"/>
      <c r="S99" s="31"/>
      <c r="T99" s="31"/>
      <c r="U99" s="31"/>
      <c r="V99" s="31"/>
      <c r="W99" s="31"/>
      <c r="X99" s="31"/>
      <c r="Y99" s="31"/>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7"/>
  <sheetViews>
    <sheetView showGridLines="0" workbookViewId="0"/>
  </sheetViews>
  <sheetFormatPr baseColWidth="10" defaultColWidth="8.59765625" defaultRowHeight="13" customHeight="1" x14ac:dyDescent="0.15"/>
  <cols>
    <col min="1" max="1" width="8.59765625" style="5" customWidth="1"/>
    <col min="2" max="2" width="26.3984375" style="5" customWidth="1"/>
    <col min="3" max="3" width="8.59765625" style="5" customWidth="1"/>
    <col min="4" max="4" width="45" style="5" customWidth="1"/>
    <col min="5" max="5" width="8.59765625" style="5" customWidth="1"/>
    <col min="6" max="6" width="20.796875" style="5" customWidth="1"/>
    <col min="7" max="8" width="8.59765625" style="5" customWidth="1"/>
    <col min="9" max="16384" width="8.59765625" style="5"/>
  </cols>
  <sheetData>
    <row r="1" spans="1:7" ht="13.5" customHeight="1" x14ac:dyDescent="0.15">
      <c r="A1" s="31"/>
      <c r="B1" s="104"/>
      <c r="C1" s="31"/>
      <c r="D1" s="105"/>
      <c r="E1" s="31"/>
      <c r="F1" s="106"/>
      <c r="G1" s="31"/>
    </row>
    <row r="2" spans="1:7" ht="13.75" customHeight="1" x14ac:dyDescent="0.15">
      <c r="A2" s="107"/>
      <c r="B2" s="108" t="s">
        <v>305</v>
      </c>
      <c r="C2" s="109"/>
      <c r="D2" s="110" t="s">
        <v>304</v>
      </c>
      <c r="E2" s="111"/>
      <c r="F2" s="112" t="s">
        <v>623</v>
      </c>
      <c r="G2" s="113"/>
    </row>
    <row r="3" spans="1:7" ht="13.75" customHeight="1" x14ac:dyDescent="0.15">
      <c r="A3" s="107"/>
      <c r="B3" s="114" t="s">
        <v>312</v>
      </c>
      <c r="C3" s="109"/>
      <c r="D3" s="115" t="s">
        <v>311</v>
      </c>
      <c r="E3" s="111"/>
      <c r="F3" s="116" t="s">
        <v>632</v>
      </c>
      <c r="G3" s="113"/>
    </row>
    <row r="4" spans="1:7" ht="13.75" customHeight="1" x14ac:dyDescent="0.15">
      <c r="A4" s="107"/>
      <c r="B4" s="114" t="s">
        <v>413</v>
      </c>
      <c r="C4" s="109"/>
      <c r="D4" s="115" t="s">
        <v>330</v>
      </c>
      <c r="E4" s="111"/>
      <c r="F4" s="116" t="s">
        <v>630</v>
      </c>
      <c r="G4" s="113"/>
    </row>
    <row r="5" spans="1:7" ht="13.75" customHeight="1" x14ac:dyDescent="0.15">
      <c r="A5" s="107"/>
      <c r="B5" s="114" t="s">
        <v>468</v>
      </c>
      <c r="C5" s="109"/>
      <c r="D5" s="115" t="s">
        <v>333</v>
      </c>
      <c r="E5" s="111"/>
      <c r="F5" s="116" t="s">
        <v>624</v>
      </c>
      <c r="G5" s="113"/>
    </row>
    <row r="6" spans="1:7" ht="13.75" customHeight="1" x14ac:dyDescent="0.15">
      <c r="A6" s="107"/>
      <c r="B6" s="114" t="s">
        <v>543</v>
      </c>
      <c r="C6" s="109"/>
      <c r="D6" s="115" t="s">
        <v>340</v>
      </c>
      <c r="E6" s="117"/>
      <c r="F6" s="118"/>
      <c r="G6" s="31"/>
    </row>
    <row r="7" spans="1:7" ht="13.75" customHeight="1" x14ac:dyDescent="0.15">
      <c r="A7" s="107"/>
      <c r="B7" s="114" t="s">
        <v>649</v>
      </c>
      <c r="C7" s="109"/>
      <c r="D7" s="115" t="s">
        <v>343</v>
      </c>
      <c r="E7" s="117"/>
      <c r="F7" s="31"/>
      <c r="G7" s="31"/>
    </row>
    <row r="8" spans="1:7" ht="13.75" customHeight="1" x14ac:dyDescent="0.15">
      <c r="A8" s="107"/>
      <c r="B8" s="114" t="s">
        <v>650</v>
      </c>
      <c r="C8" s="109"/>
      <c r="D8" s="115" t="s">
        <v>350</v>
      </c>
      <c r="E8" s="117"/>
      <c r="F8" s="31"/>
      <c r="G8" s="31"/>
    </row>
    <row r="9" spans="1:7" ht="13.75" customHeight="1" x14ac:dyDescent="0.15">
      <c r="A9" s="107"/>
      <c r="B9" s="114" t="s">
        <v>651</v>
      </c>
      <c r="C9" s="109"/>
      <c r="D9" s="115" t="s">
        <v>352</v>
      </c>
      <c r="E9" s="117"/>
      <c r="F9" s="31"/>
      <c r="G9" s="31"/>
    </row>
    <row r="10" spans="1:7" ht="13.75" customHeight="1" x14ac:dyDescent="0.15">
      <c r="A10" s="107"/>
      <c r="B10" s="114" t="s">
        <v>652</v>
      </c>
      <c r="C10" s="109"/>
      <c r="D10" s="115" t="s">
        <v>357</v>
      </c>
      <c r="E10" s="117"/>
      <c r="F10" s="31"/>
      <c r="G10" s="31"/>
    </row>
    <row r="11" spans="1:7" ht="13.75" customHeight="1" x14ac:dyDescent="0.15">
      <c r="A11" s="31"/>
      <c r="B11" s="119"/>
      <c r="C11" s="120"/>
      <c r="D11" s="115" t="s">
        <v>573</v>
      </c>
      <c r="E11" s="117"/>
      <c r="F11" s="31"/>
      <c r="G11" s="31"/>
    </row>
    <row r="12" spans="1:7" ht="13.75" customHeight="1" x14ac:dyDescent="0.15">
      <c r="A12" s="31"/>
      <c r="B12" s="31"/>
      <c r="C12" s="120"/>
      <c r="D12" s="115" t="s">
        <v>360</v>
      </c>
      <c r="E12" s="117"/>
      <c r="F12" s="31"/>
      <c r="G12" s="31"/>
    </row>
    <row r="13" spans="1:7" ht="13.75" customHeight="1" x14ac:dyDescent="0.15">
      <c r="A13" s="31"/>
      <c r="B13" s="31"/>
      <c r="C13" s="120"/>
      <c r="D13" s="115" t="s">
        <v>388</v>
      </c>
      <c r="E13" s="117"/>
      <c r="F13" s="31"/>
      <c r="G13" s="31"/>
    </row>
    <row r="14" spans="1:7" ht="13.75" customHeight="1" x14ac:dyDescent="0.15">
      <c r="A14" s="31"/>
      <c r="B14" s="31"/>
      <c r="C14" s="120"/>
      <c r="D14" s="115" t="s">
        <v>393</v>
      </c>
      <c r="E14" s="117"/>
      <c r="F14" s="31"/>
      <c r="G14" s="31"/>
    </row>
    <row r="15" spans="1:7" ht="13.75" customHeight="1" x14ac:dyDescent="0.15">
      <c r="A15" s="31"/>
      <c r="B15" s="31"/>
      <c r="C15" s="120"/>
      <c r="D15" s="115" t="s">
        <v>401</v>
      </c>
      <c r="E15" s="117"/>
      <c r="F15" s="31"/>
      <c r="G15" s="31"/>
    </row>
    <row r="16" spans="1:7" ht="13.75" customHeight="1" x14ac:dyDescent="0.15">
      <c r="A16" s="31"/>
      <c r="B16" s="31"/>
      <c r="C16" s="120"/>
      <c r="D16" s="115" t="s">
        <v>410</v>
      </c>
      <c r="E16" s="117"/>
      <c r="F16" s="31"/>
      <c r="G16" s="31"/>
    </row>
    <row r="17" spans="1:7" ht="13.5" customHeight="1" x14ac:dyDescent="0.15">
      <c r="A17" s="31"/>
      <c r="B17" s="31"/>
      <c r="C17" s="31"/>
      <c r="D17" s="121"/>
      <c r="E17" s="31"/>
      <c r="F17" s="31"/>
      <c r="G17" s="31"/>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Export Summary</vt:lpstr>
      <vt:lpstr>RawExport</vt:lpstr>
      <vt:lpstr>ProjList_Init</vt:lpstr>
      <vt:lpstr>ProjList_Mod</vt:lpstr>
      <vt:lpstr>Pivots - PivotTable1</vt:lpstr>
      <vt:lpstr>Pivots - Table 1</vt:lpstr>
      <vt:lpstr>Sheet4</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Burlew</cp:lastModifiedBy>
  <dcterms:created xsi:type="dcterms:W3CDTF">2026-07-14T18:22:47Z</dcterms:created>
  <dcterms:modified xsi:type="dcterms:W3CDTF">2026-07-14T18:22:48Z</dcterms:modified>
</cp:coreProperties>
</file>